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 1" sheetId="1" r:id="rId4"/>
    <sheet state="visible" name="Sheet3" sheetId="2" r:id="rId5"/>
    <sheet state="visible" name="Hoja 2" sheetId="3" r:id="rId6"/>
  </sheets>
  <definedNames/>
  <calcPr/>
  <extLst>
    <ext uri="GoogleSheetsCustomDataVersion2">
      <go:sheetsCustomData xmlns:go="http://customooxmlschemas.google.com/" r:id="rId7" roundtripDataChecksum="6w9iF41gFh1v+Zufzgw78t3NwO183eqJIG3bihJTL1c="/>
    </ext>
  </extLst>
</workbook>
</file>

<file path=xl/sharedStrings.xml><?xml version="1.0" encoding="utf-8"?>
<sst xmlns="http://schemas.openxmlformats.org/spreadsheetml/2006/main" count="574" uniqueCount="354">
  <si>
    <t>Columna 1</t>
  </si>
  <si>
    <t>ESTADO</t>
  </si>
  <si>
    <t>LLENAR A PARTIR DE AQUI Nombre y Apellido Cliente</t>
  </si>
  <si>
    <t>Pedido</t>
  </si>
  <si>
    <t>Pedido seleccionado por el cliente</t>
  </si>
  <si>
    <t>FIP</t>
  </si>
  <si>
    <t>ENTREGA DE DISEÑO FECHA</t>
  </si>
  <si>
    <t>Fecha de Termino de Pedido (5 dias habiles despues del deposito)</t>
  </si>
  <si>
    <t>Cantidad</t>
  </si>
  <si>
    <t>Color de Hilo</t>
  </si>
  <si>
    <t xml:space="preserve">¿Tiene Grabado adelante? </t>
  </si>
  <si>
    <t xml:space="preserve">¿Tiene Grabado atrás? </t>
  </si>
  <si>
    <t>Adicionales</t>
  </si>
  <si>
    <t>¿Para quien es el pedido?</t>
  </si>
  <si>
    <t>Monto Soles (solo de la Joya)</t>
  </si>
  <si>
    <t>Delivery</t>
  </si>
  <si>
    <t>Monto Soles TOTAL (con delivery, con foto, etc)</t>
  </si>
  <si>
    <t>Separacion PEDIDO</t>
  </si>
  <si>
    <t>Saldo</t>
  </si>
  <si>
    <t>Medio de PAGO</t>
  </si>
  <si>
    <t>Medio de Envio</t>
  </si>
  <si>
    <t>Status</t>
  </si>
  <si>
    <t>Celular</t>
  </si>
  <si>
    <t>Si es envío por Motorizado: Dirección completa (en caso sea Mz, Lote, enviar ubicación)</t>
  </si>
  <si>
    <t>Si es Recojo en Agencia: Distrito y/o Provincia de Envio</t>
  </si>
  <si>
    <t>Red Social de Contacto</t>
  </si>
  <si>
    <t>Vendedora</t>
  </si>
  <si>
    <t>Observacion 1</t>
  </si>
  <si>
    <t>Observacion 2 ( del cliente / formulario)</t>
  </si>
  <si>
    <t>recuerdo de una mascotita</t>
  </si>
  <si>
    <t>DISEÑO</t>
  </si>
  <si>
    <t>Tipo</t>
  </si>
  <si>
    <t>SE806</t>
  </si>
  <si>
    <t>Terminado</t>
  </si>
  <si>
    <t>OTRO</t>
  </si>
  <si>
    <t>No Indica</t>
  </si>
  <si>
    <t>NO</t>
  </si>
  <si>
    <t>Hij@</t>
  </si>
  <si>
    <t>Plin</t>
  </si>
  <si>
    <t>Jesus Maria - Tienda</t>
  </si>
  <si>
    <t>no</t>
  </si>
  <si>
    <t>Whatsapp</t>
  </si>
  <si>
    <t xml:space="preserve">La foto 1 es la que se hace, en caricatura porque es oscuro y peludito. La foto 2 esta como apoyo. </t>
  </si>
  <si>
    <t>Cristinne</t>
  </si>
  <si>
    <t>Personalizado</t>
  </si>
  <si>
    <t>se807</t>
  </si>
  <si>
    <t>DL02 Dije circular solo 2cm</t>
  </si>
  <si>
    <t>se808</t>
  </si>
  <si>
    <t>Dije de Letra C para Collar</t>
  </si>
  <si>
    <t>se809</t>
  </si>
  <si>
    <t>CL03 Collar con dije silueta 2.6cm</t>
  </si>
  <si>
    <t xml:space="preserve">Kit de Regalo </t>
  </si>
  <si>
    <t>En este caso el kit de regalo fue de 45 soles</t>
  </si>
  <si>
    <t>se810</t>
  </si>
  <si>
    <t>Shalom _ Juliaca</t>
  </si>
  <si>
    <t>se811</t>
  </si>
  <si>
    <t>CL01 Collar dije circular 1.5cm</t>
  </si>
  <si>
    <t xml:space="preserve">Foto Polaroid </t>
  </si>
  <si>
    <t xml:space="preserve">En caricatura, se le da una foto polaroid de regalo. </t>
  </si>
  <si>
    <t>se812</t>
  </si>
  <si>
    <t>En caricatura, se le da una foto polaroid de regalo y una tarjeta dedicatoria</t>
  </si>
  <si>
    <t>se813</t>
  </si>
  <si>
    <t>se814</t>
  </si>
  <si>
    <t>se815</t>
  </si>
  <si>
    <t>se816</t>
  </si>
  <si>
    <t>se817</t>
  </si>
  <si>
    <t>se818</t>
  </si>
  <si>
    <t>se819</t>
  </si>
  <si>
    <t>se820</t>
  </si>
  <si>
    <t>P07 Pulsera con hilo negro dije circular</t>
  </si>
  <si>
    <t>se821</t>
  </si>
  <si>
    <t>se822</t>
  </si>
  <si>
    <t xml:space="preserve">Es el mismo diseño </t>
  </si>
  <si>
    <t>se823</t>
  </si>
  <si>
    <t>Solo la silueta como está el diseño, con lineas gruesas</t>
  </si>
  <si>
    <t>se824</t>
  </si>
  <si>
    <t xml:space="preserve">Tamaño de la pulsera 20 cm </t>
  </si>
  <si>
    <t>se825</t>
  </si>
  <si>
    <t>se826</t>
  </si>
  <si>
    <t xml:space="preserve">Grabado nombre adelante Yeontan, letras pequeñas. </t>
  </si>
  <si>
    <t>se827</t>
  </si>
  <si>
    <t xml:space="preserve">Dije tamaño 2.2cm la parte mas larga. </t>
  </si>
  <si>
    <t>se828</t>
  </si>
  <si>
    <t>se entrego una foto polaroid de regalo</t>
  </si>
  <si>
    <t>se829</t>
  </si>
  <si>
    <t>cadena de bolitas</t>
  </si>
  <si>
    <t>se830</t>
  </si>
  <si>
    <t>Impresión de un perrito en una cara y de otro perrito en otra cara
Max jueves enviar a shalom para huacho
Color negro el cintillo
 Erika Gamarra Serna
72560263
994351278
Shalom mercedes indacochea
Huacho huaura lima</t>
  </si>
  <si>
    <t>se831</t>
  </si>
  <si>
    <t>Utilizar el diseño de huellita y cambiar el nombre. El tamaño debe ser siempre 1.3</t>
  </si>
  <si>
    <t>se832</t>
  </si>
  <si>
    <t xml:space="preserve">Solo grabado adelante </t>
  </si>
  <si>
    <t>se833</t>
  </si>
  <si>
    <t xml:space="preserve">Pulsera con 2 dijes siluetas snauzer ( cad snauzer, va con una letra S y J  </t>
  </si>
  <si>
    <t>se834</t>
  </si>
  <si>
    <t xml:space="preserve">Nombres bombom </t>
  </si>
  <si>
    <t>se835</t>
  </si>
  <si>
    <t xml:space="preserve">Los dijes son snauzer y son colgantes  Via Principal 155 Torre 3 San Isidro </t>
  </si>
  <si>
    <t>se836</t>
  </si>
  <si>
    <t>se837</t>
  </si>
  <si>
    <t>Solo es el P07, en el producto aparecen dos. Eso está erróneo. Debe ser solo P07</t>
  </si>
  <si>
    <t>se838</t>
  </si>
  <si>
    <t>se839</t>
  </si>
  <si>
    <t>se840</t>
  </si>
  <si>
    <t>Entrega hoy viernes</t>
  </si>
  <si>
    <t>se841</t>
  </si>
  <si>
    <t>hilo negro</t>
  </si>
  <si>
    <t>se842</t>
  </si>
  <si>
    <t>Grabado Orejas</t>
  </si>
  <si>
    <t>se843</t>
  </si>
  <si>
    <t>dije de 2cm sin nombre</t>
  </si>
  <si>
    <t>se844</t>
  </si>
  <si>
    <t>Pulsera con corazon de 2cm con impresion de 02 mascotas adelante, faltaria el largo de la pulsera</t>
  </si>
  <si>
    <t>se845</t>
  </si>
  <si>
    <t>ya listo el diseño</t>
  </si>
  <si>
    <t>se846</t>
  </si>
  <si>
    <t>solo el perrito, grabado de nombre atras ARIES</t>
  </si>
  <si>
    <t>se847</t>
  </si>
  <si>
    <t>se848</t>
  </si>
  <si>
    <t>se849</t>
  </si>
  <si>
    <t>a trujillo con grabado atras</t>
  </si>
  <si>
    <t>se850</t>
  </si>
  <si>
    <t>Cambio a Pulsera dije 2cm con hilo encerado</t>
  </si>
  <si>
    <t>se851</t>
  </si>
  <si>
    <t xml:space="preserve">diseñar el dije circular adelante va grabado y atras tambien, ademas hacer un diseño de huellita. </t>
  </si>
  <si>
    <t>se852</t>
  </si>
  <si>
    <t>diseño de cuerpo entero</t>
  </si>
  <si>
    <t>se853</t>
  </si>
  <si>
    <t>hilo color morado como la foto</t>
  </si>
  <si>
    <t>se854</t>
  </si>
  <si>
    <t xml:space="preserve">Grabado adelante Mustafa </t>
  </si>
  <si>
    <t>se855</t>
  </si>
  <si>
    <t>igual al diseño de se856</t>
  </si>
  <si>
    <t>se856</t>
  </si>
  <si>
    <t xml:space="preserve">Aqui la pulsera con dije de bronce debe estar de 18 a 20 cm con todo y dije.
</t>
  </si>
  <si>
    <t>se857</t>
  </si>
  <si>
    <t>se858</t>
  </si>
  <si>
    <t>se859</t>
  </si>
  <si>
    <t>es un dije de 1.3cm de ancho colgante para pulsera</t>
  </si>
  <si>
    <t>se860</t>
  </si>
  <si>
    <t>Grabado adelante Leia</t>
  </si>
  <si>
    <t>se861</t>
  </si>
  <si>
    <t>se862</t>
  </si>
  <si>
    <t>se863</t>
  </si>
  <si>
    <t>se864</t>
  </si>
  <si>
    <t>Recuerdo de primera comunión</t>
  </si>
  <si>
    <t>se865</t>
  </si>
  <si>
    <t>se866</t>
  </si>
  <si>
    <t>viene cone el pedido se851</t>
  </si>
  <si>
    <t>se867</t>
  </si>
  <si>
    <t>Color de hilo multicolor. Tamaño 1.3</t>
  </si>
  <si>
    <t>se868</t>
  </si>
  <si>
    <t>se869</t>
  </si>
  <si>
    <t>se870</t>
  </si>
  <si>
    <t>se871</t>
  </si>
  <si>
    <t>se872</t>
  </si>
  <si>
    <t>se873</t>
  </si>
  <si>
    <t>TA-25</t>
  </si>
  <si>
    <t xml:space="preserve">dolares
</t>
  </si>
  <si>
    <t>TA-26</t>
  </si>
  <si>
    <t>son dos huellas y abajo 
Facundo 04.10.25
cadena de bolitas
dije tamaño 19mm
dije piedra 6mm</t>
  </si>
  <si>
    <t>TA-27</t>
  </si>
  <si>
    <t>dije huellita de mano Facundo 04.10</t>
  </si>
  <si>
    <t>se874</t>
  </si>
  <si>
    <t>Son dos rostros juntos en una sola cara</t>
  </si>
  <si>
    <t>se875</t>
  </si>
  <si>
    <t>Es un humano y su perrito</t>
  </si>
  <si>
    <t>se876</t>
  </si>
  <si>
    <t>Dos retratos adelante y atrás un retrato</t>
  </si>
  <si>
    <t>se877</t>
  </si>
  <si>
    <t>tAMAÑO 1.3CM</t>
  </si>
  <si>
    <t>se878</t>
  </si>
  <si>
    <t>se879</t>
  </si>
  <si>
    <t>se880</t>
  </si>
  <si>
    <t>se881</t>
  </si>
  <si>
    <t>Solo la huellita sin grabado si con donas de plata hilo rojo</t>
  </si>
  <si>
    <t>se882</t>
  </si>
  <si>
    <t>Pulsera por indicar medida, con dije cabeza silueta</t>
  </si>
  <si>
    <t>se883</t>
  </si>
  <si>
    <t>modelo igual a se682 con 03 dijes circulares</t>
  </si>
  <si>
    <t>se884</t>
  </si>
  <si>
    <t>se885</t>
  </si>
  <si>
    <t xml:space="preserve">Nombre adelante Toby, colocarlo debajo de la huellita. 16 a 18cm
</t>
  </si>
  <si>
    <t>se886</t>
  </si>
  <si>
    <t>Envio gratis</t>
  </si>
  <si>
    <t>se887</t>
  </si>
  <si>
    <t>envio por 10 soles a San Miguel
Son 02 pulseras con dije de 2cm en acero</t>
  </si>
  <si>
    <t>se888</t>
  </si>
  <si>
    <t xml:space="preserve">Tamañ 1.4cm y nombre Toretto
Diseño con argollas </t>
  </si>
  <si>
    <t>se889</t>
  </si>
  <si>
    <t>Xx</t>
  </si>
  <si>
    <t>se890</t>
  </si>
  <si>
    <t>Son dos dijes circulares de 1.5cm iguales</t>
  </si>
  <si>
    <t>se891</t>
  </si>
  <si>
    <t>Vendedora Linda</t>
  </si>
  <si>
    <t>se892</t>
  </si>
  <si>
    <t>se893</t>
  </si>
  <si>
    <t>se894</t>
  </si>
  <si>
    <t>se895</t>
  </si>
  <si>
    <t>se896</t>
  </si>
  <si>
    <t>se897</t>
  </si>
  <si>
    <t>Ya se tiene el diseño</t>
  </si>
  <si>
    <t>se898</t>
  </si>
  <si>
    <t>se899</t>
  </si>
  <si>
    <t>debe llegar antes del 02 de febrero</t>
  </si>
  <si>
    <t>se900</t>
  </si>
  <si>
    <t xml:space="preserve">Desea que se grabe atras el nombre: Donna y una bola de tennis </t>
  </si>
  <si>
    <t>se901</t>
  </si>
  <si>
    <t>Es un collar con dije silueta solo de la cabeza con el nombre arriba</t>
  </si>
  <si>
    <t>se902</t>
  </si>
  <si>
    <t>Pedido se deja en Olva
Destino: Huacho</t>
  </si>
  <si>
    <t>se903</t>
  </si>
  <si>
    <t>Pulsera circular colgante de acero con hilo negro.
Grabado delante: Xiripa J.Y.</t>
  </si>
  <si>
    <t>se904</t>
  </si>
  <si>
    <t>se905</t>
  </si>
  <si>
    <t>Tamaño 1.5cm con argolla para collar</t>
  </si>
  <si>
    <t>se906</t>
  </si>
  <si>
    <t>Foto Polaroid</t>
  </si>
  <si>
    <t>*Nombre de Mascota: Koko
Grabado adelante: SI
Grabado atrás: No
*Dedicatoria en un papelito aparte: Koko Chiquitín
*En la Foto Polaroid cliente desea que vaya impreso: Koko Chiquitín. (Se indicó que se intentaría)
*Cliente indica dejar pedido a la altura de Plaza San Martín-Centro de Lima, trabaja en un edificio.</t>
  </si>
  <si>
    <t>se907</t>
  </si>
  <si>
    <t>Silueta salchicha, medida 1.5cm largo</t>
  </si>
  <si>
    <t>se908</t>
  </si>
  <si>
    <t>se909</t>
  </si>
  <si>
    <t xml:space="preserve">Collar modelo cabecita
Nombre de mascota: Ela
GRABADO ADELANTE: SI, nombre de mascota: Ela
GRABADO ATRÁS: SI, fecha 28/03/2018
Lugar de Entrega: Santiago de Surco </t>
  </si>
  <si>
    <t>se910</t>
  </si>
  <si>
    <t>Son 02 pulseras con hilo de color diferente,  para dama en color beige y para caballero en color vino</t>
  </si>
  <si>
    <t>se911</t>
  </si>
  <si>
    <t xml:space="preserve">Pedido Final: 
P03 pulsera dije circular con orejas 
Grabado de Huella atrás 
Hilo rojo 
</t>
  </si>
  <si>
    <t>se912</t>
  </si>
  <si>
    <t xml:space="preserve">2 Joyas de Acero:
Joya1: Cadena color dorado, dije circular
Joya2: Pulsera color plateado, dije circular
Color de Hilo de la pulsera: NEGRO
Nombre de Perrito: Toby
Nombre de mascota debe ser impresa adelante en ambas JOyas
Obsequio por promoción de Febrero: 01 Foto Polaroid
Lugar de entrega: Villa el salvador </t>
  </si>
  <si>
    <t>se913</t>
  </si>
  <si>
    <t>se914</t>
  </si>
  <si>
    <t>Con orejas</t>
  </si>
  <si>
    <t>se915</t>
  </si>
  <si>
    <t>Impresión</t>
  </si>
  <si>
    <t>se916</t>
  </si>
  <si>
    <t>se917</t>
  </si>
  <si>
    <t>El nombre que irá grabado es Martincito</t>
  </si>
  <si>
    <t>se918</t>
  </si>
  <si>
    <t xml:space="preserve">Pulsera Huellita 1.4cm diametro , hilo negro, dama, nombre Rocky. </t>
  </si>
  <si>
    <t>se919</t>
  </si>
  <si>
    <t>Pulsera Huellita 1.4cm diametro, hilo negro, caballero. Nombre Luli</t>
  </si>
  <si>
    <t>se920</t>
  </si>
  <si>
    <t>se921</t>
  </si>
  <si>
    <t>IMPRESIÓN: SÓLO ADELANTE ROSTRO Y NOMBRE
NOMBRE DE MASCOTA: Koby
JOYA1: 01 Collar de Plata, forma de Corazón 2.0cm
DESTINO: AREQUIPA, RECOGE HERMANO</t>
  </si>
  <si>
    <t>se922</t>
  </si>
  <si>
    <t xml:space="preserve">Nombre de mascota: Yugo
Clienta desea que se lo dejen a domicilio, se indicó que se realizará consulta. </t>
  </si>
  <si>
    <t>se923</t>
  </si>
  <si>
    <t>IMPRESIÓN: SÓLO ADELANTE ROSTRO Y NOMBRE
NOMBRE DE MASCOTA: Koby
JOYA2: 01 Pulsera modelo cadena forma de de corazón 2.0cm.
DESTINO: AREQUIPA, RECOGE HERMANO</t>
  </si>
  <si>
    <t>se924</t>
  </si>
  <si>
    <t>se925</t>
  </si>
  <si>
    <t>se926</t>
  </si>
  <si>
    <t xml:space="preserve">Joya: Collar de Acero, modelo circular color plateado, cadena para dama.
Clienta recoge pedido en Taller ENJOYA de Jesús María.
Comentario de Cliente: "Por favor que esté bien seguro el dije en la cadena para que no se caiga." Gracias
La impresión es sólo rostro del gatito, no desea Nombre de mascota.
</t>
  </si>
  <si>
    <t>se927</t>
  </si>
  <si>
    <t>se928</t>
  </si>
  <si>
    <t xml:space="preserve">Se debe entregar máximo el 19 de marzo
Perrito marrón con blanco en el centro </t>
  </si>
  <si>
    <t>se929</t>
  </si>
  <si>
    <t>Pulseras en color negro, dije circular, correa tipo cuero, la joya es para caballero.
Nombre de Mascota: Lanita (Grabado adelante)
Cliente indica: Ambas pulseras en color negro la de la imagen es para hombre</t>
  </si>
  <si>
    <t>se930</t>
  </si>
  <si>
    <t xml:space="preserve">Pulsera DOGMOM que sea en color negro
DESTINO: HUACHO
Agencia: SHALOM
Cliente: Ambas pulseras en color negro la de la imagen es para hombre
</t>
  </si>
  <si>
    <t>se931</t>
  </si>
  <si>
    <t>Adicional 15 soles
Grabado atrás fecha y nombre
La carita del gatito bien detallado cada pelito porfavor</t>
  </si>
  <si>
    <t>se932</t>
  </si>
  <si>
    <t>Diseño</t>
  </si>
  <si>
    <t>Dije silueta con 5 peludos, avanzar con calma
Perrito blanco en medio</t>
  </si>
  <si>
    <t>se933</t>
  </si>
  <si>
    <t>se934</t>
  </si>
  <si>
    <t xml:space="preserve">Collar circular 1.5cm
Nombre de Mascota: Seth
Grabado: Sólo adelante
Mascota: Fallecida
Cliente solicita: Si puede adicionar una tarjeta que diga “Para que Seth también vaya con usted, señito Betty”
Envío a Salamanca con motorizado:
https://maps.app.goo.gl/C5SWDbcCedm8D3dQ9
</t>
  </si>
  <si>
    <t>se935</t>
  </si>
  <si>
    <t>COLLAR CORAZÓN 2CM
GRABADO ADELANTE: "Pancita" (es la gatita)
GRABADO ATRÁS: "Yayito" (es el perrito)
DESTINO: AREQUIPA
ADICIONAL: 01 FOTO POLAROID, AMBAS MASCOTAS EN 1
CLIENTA SOLICITA: 
En el diseño: colocar como una aereola en la cabecita
En el Empaque: Si pudieran por favor ponerle una tarjetita: "desde el cielo!!! tus hijitos: Pacis y Yaito"</t>
  </si>
  <si>
    <t>se936</t>
  </si>
  <si>
    <t>se937</t>
  </si>
  <si>
    <t>JOYA: Pulsera de Plata con 02 circulares y cadena
Tamaño de cada Dije: 1cm
Grabado: Sólo Adelante
Tamaño de Cadena: 20 a 22cm
Nombre Circular 1: Sasha
Nombre Circular 2: Athena
UBICACIÓN DE CADA DIJE EN LA PULSERA: 
Sasha (Izquierda)
Athena (Derecha)
ADICIONALES: 02 Fotos Polaroid.
DESTINO: San Isidro
CLIENTE SOLICITA: Que pueda salir claro la impresión del rostro.</t>
  </si>
  <si>
    <t>se938</t>
  </si>
  <si>
    <t>Nombre Schnauzer Arya 
Nombre Pug Khaleesi</t>
  </si>
  <si>
    <t>se939</t>
  </si>
  <si>
    <t>Pulsera Huellita 1.4cm
Hilo: ROJO
Nombre de Mascota: Mía
Clienta solicita: "La coordinación para el envío y poder detallar la dirección en la que me encontraré"</t>
  </si>
  <si>
    <t>se940</t>
  </si>
  <si>
    <t>ADELANTE:
solo la foto
ATRÁS:
Samantha (arriba y en negrita) con una huellita
Siempre en mi corazón (centro)
12.03.26 (abajo, pequeño)</t>
  </si>
  <si>
    <t>se941</t>
  </si>
  <si>
    <t>Nombre arriba Pequeña</t>
  </si>
  <si>
    <t>se942</t>
  </si>
  <si>
    <t>se943</t>
  </si>
  <si>
    <t>se944</t>
  </si>
  <si>
    <t>se945</t>
  </si>
  <si>
    <t>se946</t>
  </si>
  <si>
    <t>se947</t>
  </si>
  <si>
    <t>se948</t>
  </si>
  <si>
    <t>se949</t>
  </si>
  <si>
    <t>se950</t>
  </si>
  <si>
    <t>se951</t>
  </si>
  <si>
    <t>se952</t>
  </si>
  <si>
    <t>se953</t>
  </si>
  <si>
    <t>se954</t>
  </si>
  <si>
    <t>se955</t>
  </si>
  <si>
    <t>se956</t>
  </si>
  <si>
    <t>se957</t>
  </si>
  <si>
    <t>se958</t>
  </si>
  <si>
    <t>se959</t>
  </si>
  <si>
    <t>se960</t>
  </si>
  <si>
    <t>se961</t>
  </si>
  <si>
    <t>se962</t>
  </si>
  <si>
    <t>se963</t>
  </si>
  <si>
    <t>se964</t>
  </si>
  <si>
    <t>se965</t>
  </si>
  <si>
    <t>se966</t>
  </si>
  <si>
    <t>se967</t>
  </si>
  <si>
    <t>se968</t>
  </si>
  <si>
    <t>se969</t>
  </si>
  <si>
    <t>se970</t>
  </si>
  <si>
    <t>se971</t>
  </si>
  <si>
    <t>se972</t>
  </si>
  <si>
    <t>se973</t>
  </si>
  <si>
    <t>se974</t>
  </si>
  <si>
    <t>se975</t>
  </si>
  <si>
    <t>se976</t>
  </si>
  <si>
    <t>se977</t>
  </si>
  <si>
    <t>se978</t>
  </si>
  <si>
    <t>se979</t>
  </si>
  <si>
    <t>se980</t>
  </si>
  <si>
    <t>se981</t>
  </si>
  <si>
    <t>se982</t>
  </si>
  <si>
    <t>se983</t>
  </si>
  <si>
    <t>se984</t>
  </si>
  <si>
    <t>se985</t>
  </si>
  <si>
    <t>se986</t>
  </si>
  <si>
    <t>se987</t>
  </si>
  <si>
    <t>se988</t>
  </si>
  <si>
    <t>se989</t>
  </si>
  <si>
    <t>se990</t>
  </si>
  <si>
    <t>se991</t>
  </si>
  <si>
    <t>se992</t>
  </si>
  <si>
    <t>se993</t>
  </si>
  <si>
    <t>se994</t>
  </si>
  <si>
    <t>se995</t>
  </si>
  <si>
    <t>se996</t>
  </si>
  <si>
    <t>se997</t>
  </si>
  <si>
    <t>se998</t>
  </si>
  <si>
    <t>se999</t>
  </si>
  <si>
    <t>se1000</t>
  </si>
  <si>
    <t xml:space="preserve">Luis Vargas 996105445 dni 07330102 </t>
  </si>
  <si>
    <t>Luis Vargas 996105445 dni 07330102</t>
  </si>
  <si>
    <t>Para mi</t>
  </si>
  <si>
    <t>En oro</t>
  </si>
  <si>
    <t>La mascotita está contigo  🐾🎉</t>
  </si>
  <si>
    <t>Recojo cuando te vea</t>
  </si>
  <si>
    <t>.</t>
  </si>
  <si>
    <t>No es de mascotita</t>
  </si>
  <si>
    <t>Jirón Aldebaran 420, Dpto T302, Santiago de surco / Jenifer Mendoza / 920673596</t>
  </si>
  <si>
    <t xml:space="preserve">No </t>
  </si>
  <si>
    <t xml:space="preserve">Para una amiga </t>
  </si>
  <si>
    <t xml:space="preserve">Es para regalo de cumpleaños </t>
  </si>
  <si>
    <t>No</t>
  </si>
  <si>
    <t>Yaan Carl Bustamante Valdivia, 951615392, 02429804, agencia Pumacahua</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</si>
</sst>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quot;/&quot;mm&quot;/&quot;yyyy"/>
    <numFmt numFmtId="165" formatCode="yyyy\-mm\-dd"/>
  </numFmts>
  <fonts count="7">
    <font>
      <sz val="10.0"/>
      <color rgb="FF000000"/>
      <name val="Arial"/>
      <scheme val="minor"/>
    </font>
    <font>
      <b/>
      <sz val="11.0"/>
      <color rgb="FF000000"/>
      <name val="Roboto"/>
    </font>
    <font>
      <sz val="11.0"/>
      <color theme="1"/>
      <name val="Arial"/>
    </font>
    <font>
      <sz val="11.0"/>
      <color theme="1"/>
      <name val="Calibri"/>
    </font>
    <font>
      <sz val="11.0"/>
      <color rgb="FF000000"/>
      <name val="Arial"/>
    </font>
    <font>
      <sz val="8.0"/>
      <color theme="1"/>
      <name val="Arial"/>
    </font>
    <font>
      <sz val="10.0"/>
      <color theme="1"/>
      <name val="Arial"/>
    </font>
  </fonts>
  <fills count="11">
    <fill>
      <patternFill patternType="none"/>
    </fill>
    <fill>
      <patternFill patternType="lightGray"/>
    </fill>
    <fill>
      <patternFill patternType="solid">
        <fgColor rgb="FFFF9900"/>
        <bgColor rgb="FFFF9900"/>
      </patternFill>
    </fill>
    <fill>
      <patternFill patternType="solid">
        <fgColor rgb="FFFFFFFF"/>
        <bgColor rgb="FFFFFFFF"/>
      </patternFill>
    </fill>
    <fill>
      <patternFill patternType="solid">
        <fgColor rgb="FF4285F4"/>
        <bgColor rgb="FF4285F4"/>
      </patternFill>
    </fill>
    <fill>
      <patternFill patternType="solid">
        <fgColor rgb="FF4A86E8"/>
        <bgColor rgb="FF4A86E8"/>
      </patternFill>
    </fill>
    <fill>
      <patternFill patternType="solid">
        <fgColor theme="0"/>
        <bgColor theme="0"/>
      </patternFill>
    </fill>
    <fill>
      <patternFill patternType="solid">
        <fgColor rgb="FFF8F9FA"/>
        <bgColor rgb="FFF8F9FA"/>
      </patternFill>
    </fill>
    <fill>
      <patternFill patternType="solid">
        <fgColor rgb="FF00FF00"/>
        <bgColor rgb="FF00FF00"/>
      </patternFill>
    </fill>
    <fill>
      <patternFill patternType="solid">
        <fgColor theme="4"/>
        <bgColor theme="4"/>
      </patternFill>
    </fill>
    <fill>
      <patternFill patternType="solid">
        <fgColor rgb="FF00FFFF"/>
        <bgColor rgb="FF00FFFF"/>
      </patternFill>
    </fill>
  </fills>
  <borders count="3">
    <border/>
    <border>
      <left style="thin">
        <color rgb="FF000000"/>
      </left>
      <right style="thin">
        <color rgb="FF000000"/>
      </right>
      <top style="thin">
        <color rgb="FF000000"/>
      </top>
      <bottom style="thin">
        <color rgb="FF000000"/>
      </bottom>
    </border>
    <border>
      <left/>
      <right/>
      <top/>
      <bottom/>
    </border>
  </borders>
  <cellStyleXfs count="1">
    <xf borderId="0" fillId="0" fontId="0" numFmtId="0" applyAlignment="1" applyFont="1"/>
  </cellStyleXfs>
  <cellXfs count="32">
    <xf borderId="0" fillId="0" fontId="0" numFmtId="0" xfId="0" applyAlignment="1" applyFont="1">
      <alignment readingOrder="0" shrinkToFit="0" vertical="bottom" wrapText="0"/>
    </xf>
    <xf borderId="1" fillId="2" fontId="1" numFmtId="0" xfId="0" applyAlignment="1" applyBorder="1" applyFill="1" applyFont="1">
      <alignment shrinkToFit="0" wrapText="1"/>
    </xf>
    <xf borderId="1" fillId="3" fontId="2" numFmtId="0" xfId="0" applyAlignment="1" applyBorder="1" applyFill="1" applyFont="1">
      <alignment shrinkToFit="0" wrapText="1"/>
    </xf>
    <xf borderId="1" fillId="0" fontId="3" numFmtId="0" xfId="0" applyBorder="1" applyFont="1"/>
    <xf borderId="1" fillId="4" fontId="4" numFmtId="0" xfId="0" applyAlignment="1" applyBorder="1" applyFill="1" applyFont="1">
      <alignment horizontal="left"/>
    </xf>
    <xf borderId="1" fillId="3" fontId="2" numFmtId="164" xfId="0" applyAlignment="1" applyBorder="1" applyFont="1" applyNumberFormat="1">
      <alignment horizontal="right" shrinkToFit="0" wrapText="1"/>
    </xf>
    <xf borderId="1" fillId="4" fontId="4" numFmtId="3" xfId="0" applyAlignment="1" applyBorder="1" applyFont="1" applyNumberFormat="1">
      <alignment horizontal="right"/>
    </xf>
    <xf borderId="1" fillId="5" fontId="5" numFmtId="0" xfId="0" applyAlignment="1" applyBorder="1" applyFill="1" applyFont="1">
      <alignment shrinkToFit="0" wrapText="1"/>
    </xf>
    <xf borderId="1" fillId="6" fontId="2" numFmtId="0" xfId="0" applyAlignment="1" applyBorder="1" applyFill="1" applyFont="1">
      <alignment horizontal="right" shrinkToFit="0" wrapText="1"/>
    </xf>
    <xf borderId="1" fillId="3" fontId="2" numFmtId="0" xfId="0" applyAlignment="1" applyBorder="1" applyFont="1">
      <alignment horizontal="right" shrinkToFit="0" wrapText="1"/>
    </xf>
    <xf borderId="1" fillId="4" fontId="2" numFmtId="0" xfId="0" applyAlignment="1" applyBorder="1" applyFont="1">
      <alignment shrinkToFit="0" wrapText="1"/>
    </xf>
    <xf borderId="1" fillId="7" fontId="2" numFmtId="0" xfId="0" applyAlignment="1" applyBorder="1" applyFill="1" applyFont="1">
      <alignment shrinkToFit="0" wrapText="1"/>
    </xf>
    <xf borderId="1" fillId="3" fontId="3" numFmtId="0" xfId="0" applyBorder="1" applyFont="1"/>
    <xf borderId="1" fillId="8" fontId="2" numFmtId="0" xfId="0" applyAlignment="1" applyBorder="1" applyFill="1" applyFont="1">
      <alignment horizontal="right" shrinkToFit="0" wrapText="1"/>
    </xf>
    <xf borderId="1" fillId="4" fontId="4" numFmtId="0" xfId="0" applyAlignment="1" applyBorder="1" applyFont="1">
      <alignment horizontal="right"/>
    </xf>
    <xf borderId="1" fillId="7" fontId="3" numFmtId="0" xfId="0" applyBorder="1" applyFont="1"/>
    <xf borderId="1" fillId="0" fontId="2" numFmtId="0" xfId="0" applyBorder="1" applyFont="1"/>
    <xf borderId="1" fillId="9" fontId="2" numFmtId="0" xfId="0" applyBorder="1" applyFill="1" applyFont="1"/>
    <xf borderId="1" fillId="9" fontId="2" numFmtId="3" xfId="0" applyAlignment="1" applyBorder="1" applyFont="1" applyNumberFormat="1">
      <alignment horizontal="right" shrinkToFit="0" wrapText="1"/>
    </xf>
    <xf borderId="1" fillId="4" fontId="2" numFmtId="0" xfId="0" applyBorder="1" applyFont="1"/>
    <xf borderId="1" fillId="0" fontId="6" numFmtId="0" xfId="0" applyBorder="1" applyFont="1"/>
    <xf borderId="1" fillId="9" fontId="6" numFmtId="0" xfId="0" applyBorder="1" applyFont="1"/>
    <xf borderId="1" fillId="4" fontId="6" numFmtId="0" xfId="0" applyBorder="1" applyFont="1"/>
    <xf borderId="2" fillId="3" fontId="2" numFmtId="164" xfId="0" applyAlignment="1" applyBorder="1" applyFont="1" applyNumberFormat="1">
      <alignment horizontal="right" shrinkToFit="0" wrapText="1"/>
    </xf>
    <xf borderId="1" fillId="8" fontId="6" numFmtId="0" xfId="0" applyBorder="1" applyFont="1"/>
    <xf borderId="1" fillId="10" fontId="6" numFmtId="0" xfId="0" applyBorder="1" applyFill="1" applyFont="1"/>
    <xf borderId="1" fillId="6" fontId="6" numFmtId="0" xfId="0" applyBorder="1" applyFont="1"/>
    <xf borderId="1" fillId="3" fontId="6" numFmtId="0" xfId="0" applyBorder="1" applyFont="1"/>
    <xf borderId="0" fillId="0" fontId="6" numFmtId="0" xfId="0" applyFont="1"/>
    <xf borderId="2" fillId="9" fontId="6" numFmtId="0" xfId="0" applyBorder="1" applyFont="1"/>
    <xf borderId="2" fillId="4" fontId="6" numFmtId="0" xfId="0" applyBorder="1" applyFont="1"/>
    <xf borderId="0" fillId="0" fontId="6" numFmtId="165"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2.63"/>
    <col customWidth="1" min="2" max="2" width="16.13"/>
    <col customWidth="1" min="3" max="3" width="29.0"/>
    <col customWidth="1" min="4" max="4" width="25.75"/>
    <col customWidth="1" min="5" max="5" width="27.63"/>
    <col customWidth="1" min="6" max="6" width="12.63"/>
    <col customWidth="1" min="8" max="8" width="21.88"/>
    <col customWidth="1" min="16" max="17" width="19.38"/>
    <col customWidth="1" min="24" max="24" width="19.75"/>
    <col customWidth="1" min="25" max="25" width="30.63"/>
    <col customWidth="1" min="29" max="29" width="26.63"/>
    <col customWidth="1" min="30" max="30" width="12.75"/>
    <col customWidth="1" min="31" max="31" width="15.25"/>
  </cols>
  <sheetData>
    <row r="1" ht="15.7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13</v>
      </c>
      <c r="AA1" s="1" t="s">
        <v>25</v>
      </c>
      <c r="AB1" s="1" t="s">
        <v>26</v>
      </c>
      <c r="AC1" s="1" t="s">
        <v>27</v>
      </c>
      <c r="AD1" s="1" t="s">
        <v>28</v>
      </c>
      <c r="AE1" s="1" t="s">
        <v>29</v>
      </c>
      <c r="AF1" s="1" t="s">
        <v>30</v>
      </c>
      <c r="AG1" s="1" t="s">
        <v>31</v>
      </c>
    </row>
    <row r="2" ht="15.75" customHeight="1">
      <c r="A2" s="2" t="s">
        <v>32</v>
      </c>
      <c r="B2" s="3" t="s">
        <v>33</v>
      </c>
      <c r="C2" s="4" t="str">
        <f>IFERROR(__xludf.DUMMYFUNCTION("FILTER(IMPORTRANGE(""https://docs.google.com/spreadsheets/d/1oz_CksJVGxUERR1zbdyAg32G8gT8Gxe64CRxMhh224Y"",""Respuestas de formulario 1!C2:C""),LEN(IMPORTRANGE(""https://docs.google.com/spreadsheets/d/1oz_CksJVGxUERR1zbdyAg32G8gT8Gxe64CRxMhh224Y"",""Respu"&amp;"estas de formulario 1!C2:C""))&gt;0)"),"Sandra")</f>
        <v>Sandra</v>
      </c>
      <c r="D2" s="2" t="s">
        <v>34</v>
      </c>
      <c r="E2" s="4" t="str">
        <f>IFERROR(__xludf.DUMMYFUNCTION("FILTER(IMPORTRANGE(""https://docs.google.com/spreadsheets/d/1oz_CksJVGxUERR1zbdyAg32G8gT8Gxe64CRxMhh224Y"",""Respuestas de formulario 1!G2:G""),LEN(IMPORTRANGE(""https://docs.google.com/spreadsheets/d/1oz_CksJVGxUERR1zbdyAg32G8gT8Gxe64CRxMhh224Y"",""Respu"&amp;"estas de formulario 1!G2:G""))&gt;0)"),"Pin para Groomer")</f>
        <v>Pin para Groomer</v>
      </c>
      <c r="F2" s="5">
        <v>45931.0</v>
      </c>
      <c r="G2" s="5">
        <f t="shared" ref="G2:G5" si="1">F2+2</f>
        <v>45933</v>
      </c>
      <c r="H2" s="5">
        <f>F2+5</f>
        <v>45936</v>
      </c>
      <c r="I2" s="6">
        <f>IFERROR(__xludf.DUMMYFUNCTION("FILTER(IMPORTRANGE(""https://docs.google.com/spreadsheets/d/1oz_CksJVGxUERR1zbdyAg32G8gT8Gxe64CRxMhh224Y"",""Respuestas de formulario 1!F2:F""),LEN(IMPORTRANGE(""https://docs.google.com/spreadsheets/d/1oz_CksJVGxUERR1zbdyAg32G8gT8Gxe64CRxMhh224Y"",""Respu"&amp;"estas de formulario 1!F2:F""))&gt;0)"),1.0)</f>
        <v>1</v>
      </c>
      <c r="J2" s="2" t="s">
        <v>35</v>
      </c>
      <c r="K2" s="7" t="str">
        <f>IFERROR(__xludf.DUMMYFUNCTION("FILTER(IMPORTRANGE(""https://docs.google.com/spreadsheets/d/1oz_CksJVGxUERR1zbdyAg32G8gT8Gxe64CRxMhh224Y"",""Respuestas de formulario 1!H2:H""),LEN(IMPORTRANGE(""https://docs.google.com/spreadsheets/d/1oz_CksJVGxUERR1zbdyAg32G8gT8Gxe64CRxMhh224Y"",""Respu"&amp;"estas de formulario 1!H2:H""))&gt;0)"),"Mezclar Tijeras, Huellitas para Groomer")</f>
        <v>Mezclar Tijeras, Huellitas para Groomer</v>
      </c>
      <c r="L2" s="7" t="str">
        <f>IFERROR(__xludf.DUMMYFUNCTION("FILTER(IMPORTRANGE(""https://docs.google.com/spreadsheets/d/1oz_CksJVGxUERR1zbdyAg32G8gT8Gxe64CRxMhh224Y"",""Respuestas de formulario 1!I2:I""),LEN(IMPORTRANGE(""https://docs.google.com/spreadsheets/d/1oz_CksJVGxUERR1zbdyAg32G8gT8Gxe64CRxMhh224Y"",""Respu"&amp;"estas de formulario 1!I2:I""))&gt;0)"),"x")</f>
        <v>x</v>
      </c>
      <c r="M2" s="2" t="s">
        <v>36</v>
      </c>
      <c r="N2" s="2" t="s">
        <v>37</v>
      </c>
      <c r="O2" s="8">
        <v>0.0</v>
      </c>
      <c r="P2" s="9">
        <v>0.0</v>
      </c>
      <c r="Q2" s="9">
        <f>O2+P2</f>
        <v>0</v>
      </c>
      <c r="R2" s="9">
        <v>0.0</v>
      </c>
      <c r="S2" s="9">
        <f>Q2-R2</f>
        <v>0</v>
      </c>
      <c r="T2" s="2" t="s">
        <v>38</v>
      </c>
      <c r="U2" s="2" t="s">
        <v>39</v>
      </c>
      <c r="V2" s="2" t="s">
        <v>40</v>
      </c>
      <c r="W2" s="7" t="str">
        <f>IFERROR(__xludf.DUMMYFUNCTION("FILTER(IMPORTRANGE(""https://docs.google.com/spreadsheets/d/1oz_CksJVGxUERR1zbdyAg32G8gT8Gxe64CRxMhh224Y"",""Respuestas de formulario 1!E2:E""),LEN(IMPORTRANGE(""https://docs.google.com/spreadsheets/d/1oz_CksJVGxUERR1zbdyAg32G8gT8Gxe64CRxMhh224Y"",""Respu"&amp;"estas de formulario 1!E2:E""))&gt;0)"),",,")</f>
        <v>,,</v>
      </c>
      <c r="X2" s="7" t="str">
        <f>IFERROR(__xludf.DUMMYFUNCTION("FILTER(IMPORTRANGE(""https://docs.google.com/spreadsheets/d/1oz_CksJVGxUERR1zbdyAg32G8gT8Gxe64CRxMhh224Y"",""Respuestas de formulario 1!K2:K""),LEN(IMPORTRANGE(""https://docs.google.com/spreadsheets/d/1oz_CksJVGxUERR1zbdyAg32G8gT8Gxe64CRxMhh224Y"",""Respu"&amp;"estas de formulario 1!K2:K""))&gt;0)"),"x")</f>
        <v>x</v>
      </c>
      <c r="Y2" s="7" t="str">
        <f>IFERROR(__xludf.DUMMYFUNCTION("FILTER(IMPORTRANGE(""https://docs.google.com/spreadsheets/d/1oz_CksJVGxUERR1zbdyAg32G8gT8Gxe64CRxMhh224Y"",""Respuestas de formulario 1!L2:L""),LEN(IMPORTRANGE(""https://docs.google.com/spreadsheets/d/1oz_CksJVGxUERR1zbdyAg32G8gT8Gxe64CRxMhh224Y"",""Respu"&amp;"estas de formulario 1!L2:L""))&gt;0)"),"x")</f>
        <v>x</v>
      </c>
      <c r="Z2" s="7" t="str">
        <f>IFERROR(__xludf.DUMMYFUNCTION("FILTER(IMPORTRANGE(""https://docs.google.com/spreadsheets/d/1oz_CksJVGxUERR1zbdyAg32G8gT8Gxe64CRxMhh224Y"",""Respuestas de formulario 1!N2:N""),LEN(IMPORTRANGE(""https://docs.google.com/spreadsheets/d/1oz_CksJVGxUERR1zbdyAg32G8gT8Gxe64CRxMhh224Y"",""Respu"&amp;"estas de formulario 1!N2:N""))&gt;0)"),"x")</f>
        <v>x</v>
      </c>
      <c r="AA2" s="2" t="s">
        <v>41</v>
      </c>
      <c r="AB2" s="10" t="str">
        <f>IFERROR(__xludf.DUMMYFUNCTION("FILTER(IMPORTRANGE(""https://docs.google.com/spreadsheets/d/1oz_CksJVGxUERR1zbdyAg32G8gT8Gxe64CRxMhh224Y"",""Respuestas de formulario 1!R2:R""),LEN(IMPORTRANGE(""https://docs.google.com/spreadsheets/d/1oz_CksJVGxUERR1zbdyAg32G8gT8Gxe64CRxMhh224Y"",""Respu"&amp;"estas de formulario 1!R2:R""))&gt;0)"),"Sandra")</f>
        <v>Sandra</v>
      </c>
      <c r="AC2" s="2" t="s">
        <v>42</v>
      </c>
      <c r="AD2" s="7" t="str">
        <f>IFERROR(__xludf.DUMMYFUNCTION("FILTER(IMPORTRANGE(""https://docs.google.com/spreadsheets/d/1oz_CksJVGxUERR1zbdyAg32G8gT8Gxe64CRxMhh224Y"",""Respuestas de formulario 1!P2:P""),LEN(IMPORTRANGE(""https://docs.google.com/spreadsheets/d/1oz_CksJVGxUERR1zbdyAg32G8gT8Gxe64CRxMhh224Y"",""Respu"&amp;"estas de formulario 1!P2:P""))&gt;0)"),"stock")</f>
        <v>stock</v>
      </c>
      <c r="AE2" s="7" t="str">
        <f>IFERROR(__xludf.DUMMYFUNCTION("FILTER(IMPORTRANGE(""https://docs.google.com/spreadsheets/d/1oz_CksJVGxUERR1zbdyAg32G8gT8Gxe64CRxMhh224Y"",""Respuestas de formulario 1!O2:O""),LEN(IMPORTRANGE(""https://docs.google.com/spreadsheets/d/1oz_CksJVGxUERR1zbdyAg32G8gT8Gxe64CRxMhh224Y"",""Respu"&amp;"estas de formulario 1!O2:O""))&gt;0)"),"No es de mascotita")</f>
        <v>No es de mascotita</v>
      </c>
      <c r="AF2" s="2" t="s">
        <v>43</v>
      </c>
      <c r="AG2" s="2" t="s">
        <v>44</v>
      </c>
    </row>
    <row r="3" ht="15.75" customHeight="1">
      <c r="A3" s="2" t="s">
        <v>45</v>
      </c>
      <c r="B3" s="11" t="s">
        <v>33</v>
      </c>
      <c r="C3" s="4" t="str">
        <f>IFERROR(__xludf.DUMMYFUNCTION("""COMPUTED_VALUE"""),"LUIS FERNANDO VARGAS HERRERA")</f>
        <v>LUIS FERNANDO VARGAS HERRERA</v>
      </c>
      <c r="D3" s="2" t="s">
        <v>46</v>
      </c>
      <c r="E3" s="4" t="str">
        <f>IFERROR(__xludf.DUMMYFUNCTION("""COMPUTED_VALUE"""),"CL02 Collar dije circular 2cm s/169")</f>
        <v>CL02 Collar dije circular 2cm s/169</v>
      </c>
      <c r="F3" s="5">
        <v>45936.0</v>
      </c>
      <c r="G3" s="5">
        <f t="shared" si="1"/>
        <v>45938</v>
      </c>
      <c r="H3" s="5">
        <v>45948.0</v>
      </c>
      <c r="I3" s="6">
        <f>IFERROR(__xludf.DUMMYFUNCTION("""COMPUTED_VALUE"""),1.0)</f>
        <v>1</v>
      </c>
      <c r="J3" s="11" t="s">
        <v>35</v>
      </c>
      <c r="K3" s="4" t="str">
        <f>IFERROR(__xludf.DUMMYFUNCTION("""COMPUTED_VALUE"""),"X")</f>
        <v>X</v>
      </c>
      <c r="L3" s="4" t="str">
        <f>IFERROR(__xludf.DUMMYFUNCTION("""COMPUTED_VALUE"""),"X")</f>
        <v>X</v>
      </c>
      <c r="M3" s="2" t="s">
        <v>36</v>
      </c>
      <c r="N3" s="12"/>
      <c r="O3" s="13">
        <v>900.0</v>
      </c>
      <c r="P3" s="9">
        <v>12.0</v>
      </c>
      <c r="Q3" s="9">
        <v>1250.0</v>
      </c>
      <c r="R3" s="9">
        <v>650.0</v>
      </c>
      <c r="S3" s="9">
        <v>600.0</v>
      </c>
      <c r="T3" s="12"/>
      <c r="U3" s="12"/>
      <c r="V3" s="12"/>
      <c r="W3" s="14">
        <f>IFERROR(__xludf.DUMMYFUNCTION("""COMPUTED_VALUE"""),9.96105445E8)</f>
        <v>996105445</v>
      </c>
      <c r="X3" s="4" t="str">
        <f>IFERROR(__xludf.DUMMYFUNCTION("""COMPUTED_VALUE"""),"Luis Vargas 996105445 dni 07330102 ")</f>
        <v>Luis Vargas 996105445 dni 07330102 </v>
      </c>
      <c r="Y3" s="4" t="str">
        <f>IFERROR(__xludf.DUMMYFUNCTION("""COMPUTED_VALUE"""),"Luis Vargas 996105445 dni 07330102")</f>
        <v>Luis Vargas 996105445 dni 07330102</v>
      </c>
      <c r="Z3" s="4" t="str">
        <f>IFERROR(__xludf.DUMMYFUNCTION("""COMPUTED_VALUE"""),"Para mi")</f>
        <v>Para mi</v>
      </c>
      <c r="AA3" s="2" t="s">
        <v>41</v>
      </c>
      <c r="AB3" s="10" t="str">
        <f>IFERROR(__xludf.DUMMYFUNCTION("""COMPUTED_VALUE"""),"Daniela")</f>
        <v>Daniela</v>
      </c>
      <c r="AC3" s="12"/>
      <c r="AD3" s="4" t="str">
        <f>IFERROR(__xludf.DUMMYFUNCTION("""COMPUTED_VALUE"""),"En oro")</f>
        <v>En oro</v>
      </c>
      <c r="AE3" s="4" t="str">
        <f>IFERROR(__xludf.DUMMYFUNCTION("""COMPUTED_VALUE"""),"La mascotita está contigo  🐾🎉")</f>
        <v>La mascotita está contigo  🐾🎉</v>
      </c>
      <c r="AF3" s="15"/>
      <c r="AG3" s="15"/>
    </row>
    <row r="4" ht="15.75" customHeight="1">
      <c r="A4" s="2" t="s">
        <v>47</v>
      </c>
      <c r="B4" s="2" t="s">
        <v>33</v>
      </c>
      <c r="C4" s="4" t="str">
        <f>IFERROR(__xludf.DUMMYFUNCTION("""COMPUTED_VALUE"""),"Claudia Ramirez Taboada ")</f>
        <v>Claudia Ramirez Taboada </v>
      </c>
      <c r="D4" s="2" t="s">
        <v>34</v>
      </c>
      <c r="E4" s="4" t="str">
        <f>IFERROR(__xludf.DUMMYFUNCTION("""COMPUTED_VALUE"""),"Letra C")</f>
        <v>Letra C</v>
      </c>
      <c r="F4" s="5">
        <v>45939.0</v>
      </c>
      <c r="G4" s="5">
        <f t="shared" si="1"/>
        <v>45941</v>
      </c>
      <c r="H4" s="5">
        <f>F4+5</f>
        <v>45944</v>
      </c>
      <c r="I4" s="6">
        <f>IFERROR(__xludf.DUMMYFUNCTION("""COMPUTED_VALUE"""),1.0)</f>
        <v>1</v>
      </c>
      <c r="J4" s="2" t="s">
        <v>35</v>
      </c>
      <c r="K4" s="4" t="str">
        <f>IFERROR(__xludf.DUMMYFUNCTION("""COMPUTED_VALUE"""),"No")</f>
        <v>No</v>
      </c>
      <c r="L4" s="4" t="str">
        <f>IFERROR(__xludf.DUMMYFUNCTION("""COMPUTED_VALUE"""),"No")</f>
        <v>No</v>
      </c>
      <c r="M4" s="2" t="s">
        <v>36</v>
      </c>
      <c r="N4" s="12"/>
      <c r="O4" s="8"/>
      <c r="P4" s="9">
        <v>0.0</v>
      </c>
      <c r="Q4" s="9">
        <f t="shared" ref="Q4:Q5" si="2">O4+P4</f>
        <v>0</v>
      </c>
      <c r="R4" s="9"/>
      <c r="S4" s="9">
        <f t="shared" ref="S4:S5" si="3">Q4-R4</f>
        <v>0</v>
      </c>
      <c r="T4" s="12"/>
      <c r="U4" s="12"/>
      <c r="V4" s="12"/>
      <c r="W4" s="14">
        <f>IFERROR(__xludf.DUMMYFUNCTION("""COMPUTED_VALUE"""),9.93101223E8)</f>
        <v>993101223</v>
      </c>
      <c r="X4" s="4" t="str">
        <f>IFERROR(__xludf.DUMMYFUNCTION("""COMPUTED_VALUE"""),"Recojo cuando te vea")</f>
        <v>Recojo cuando te vea</v>
      </c>
      <c r="Y4" s="4" t="str">
        <f>IFERROR(__xludf.DUMMYFUNCTION("""COMPUTED_VALUE"""),".")</f>
        <v>.</v>
      </c>
      <c r="Z4" s="4" t="str">
        <f>IFERROR(__xludf.DUMMYFUNCTION("""COMPUTED_VALUE"""),"Para mi")</f>
        <v>Para mi</v>
      </c>
      <c r="AA4" s="2" t="s">
        <v>41</v>
      </c>
      <c r="AB4" s="10" t="str">
        <f>IFERROR(__xludf.DUMMYFUNCTION("""COMPUTED_VALUE"""),"Sandra")</f>
        <v>Sandra</v>
      </c>
      <c r="AC4" s="2" t="s">
        <v>48</v>
      </c>
      <c r="AD4" s="4" t="str">
        <f>IFERROR(__xludf.DUMMYFUNCTION("""COMPUTED_VALUE"""),".")</f>
        <v>.</v>
      </c>
      <c r="AE4" s="4" t="str">
        <f>IFERROR(__xludf.DUMMYFUNCTION("""COMPUTED_VALUE"""),"No es de mascotita")</f>
        <v>No es de mascotita</v>
      </c>
      <c r="AF4" s="12"/>
      <c r="AG4" s="12"/>
    </row>
    <row r="5" ht="15.75" customHeight="1">
      <c r="A5" s="2" t="s">
        <v>49</v>
      </c>
      <c r="B5" s="11" t="s">
        <v>33</v>
      </c>
      <c r="C5" s="4" t="str">
        <f>IFERROR(__xludf.DUMMYFUNCTION("""COMPUTED_VALUE"""),"Jenifer Mendoza ")</f>
        <v>Jenifer Mendoza </v>
      </c>
      <c r="D5" s="2" t="s">
        <v>50</v>
      </c>
      <c r="E5" s="4" t="str">
        <f>IFERROR(__xludf.DUMMYFUNCTION("""COMPUTED_VALUE"""),"Collar corazón  ")</f>
        <v>Collar corazón  </v>
      </c>
      <c r="F5" s="5">
        <v>45939.0</v>
      </c>
      <c r="G5" s="5">
        <f t="shared" si="1"/>
        <v>45941</v>
      </c>
      <c r="H5" s="5">
        <v>45941.0</v>
      </c>
      <c r="I5" s="6">
        <f>IFERROR(__xludf.DUMMYFUNCTION("""COMPUTED_VALUE"""),1.0)</f>
        <v>1</v>
      </c>
      <c r="J5" s="11" t="s">
        <v>35</v>
      </c>
      <c r="K5" s="4" t="str">
        <f>IFERROR(__xludf.DUMMYFUNCTION("""COMPUTED_VALUE"""),"Si ")</f>
        <v>Si </v>
      </c>
      <c r="L5" s="4" t="str">
        <f>IFERROR(__xludf.DUMMYFUNCTION("""COMPUTED_VALUE"""),"No ")</f>
        <v>No </v>
      </c>
      <c r="M5" s="2" t="s">
        <v>51</v>
      </c>
      <c r="N5" s="12"/>
      <c r="O5" s="13">
        <v>159.0</v>
      </c>
      <c r="P5" s="9">
        <v>0.0</v>
      </c>
      <c r="Q5" s="9">
        <f t="shared" si="2"/>
        <v>159</v>
      </c>
      <c r="R5" s="9">
        <v>0.0</v>
      </c>
      <c r="S5" s="9">
        <f t="shared" si="3"/>
        <v>159</v>
      </c>
      <c r="T5" s="12"/>
      <c r="U5" s="12"/>
      <c r="V5" s="12"/>
      <c r="W5" s="14">
        <f>IFERROR(__xludf.DUMMYFUNCTION("""COMPUTED_VALUE"""),9.20673596E8)</f>
        <v>920673596</v>
      </c>
      <c r="X5" s="4" t="str">
        <f>IFERROR(__xludf.DUMMYFUNCTION("""COMPUTED_VALUE"""),"Jirón Aldebaran 420, Dpto T302, Santiago de surco / Jenifer Mendoza / 920673596")</f>
        <v>Jirón Aldebaran 420, Dpto T302, Santiago de surco / Jenifer Mendoza / 920673596</v>
      </c>
      <c r="Y5" s="4" t="str">
        <f>IFERROR(__xludf.DUMMYFUNCTION("""COMPUTED_VALUE"""),"No ")</f>
        <v>No </v>
      </c>
      <c r="Z5" s="4" t="str">
        <f>IFERROR(__xludf.DUMMYFUNCTION("""COMPUTED_VALUE"""),"Para una amiga ")</f>
        <v>Para una amiga </v>
      </c>
      <c r="AA5" s="2" t="s">
        <v>41</v>
      </c>
      <c r="AB5" s="10" t="str">
        <f>IFERROR(__xludf.DUMMYFUNCTION("""COMPUTED_VALUE"""),"Daniela")</f>
        <v>Daniela</v>
      </c>
      <c r="AC5" s="12" t="s">
        <v>52</v>
      </c>
      <c r="AD5" s="4" t="str">
        <f>IFERROR(__xludf.DUMMYFUNCTION("""COMPUTED_VALUE"""),"Es para regalo de cumpleaños ")</f>
        <v>Es para regalo de cumpleaños </v>
      </c>
      <c r="AE5" s="4" t="str">
        <f>IFERROR(__xludf.DUMMYFUNCTION("""COMPUTED_VALUE"""),"La mascotita está contigo  🐾🎉")</f>
        <v>La mascotita está contigo  🐾🎉</v>
      </c>
      <c r="AF5" s="15"/>
      <c r="AG5" s="15"/>
    </row>
    <row r="6" ht="15.75" customHeight="1">
      <c r="A6" s="16" t="s">
        <v>53</v>
      </c>
      <c r="B6" s="11" t="s">
        <v>33</v>
      </c>
      <c r="C6" s="17" t="str">
        <f>IFERROR(__xludf.DUMMYFUNCTION("""COMPUTED_VALUE"""),"Leslie Fernanda Bustamante Cáceres")</f>
        <v>Leslie Fernanda Bustamante Cáceres</v>
      </c>
      <c r="D6" s="2" t="s">
        <v>34</v>
      </c>
      <c r="E6" s="17" t="str">
        <f>IFERROR(__xludf.DUMMYFUNCTION("""COMPUTED_VALUE"""),"Dije varón 180")</f>
        <v>Dije varón 180</v>
      </c>
      <c r="F6" s="5">
        <v>45941.0</v>
      </c>
      <c r="G6" s="5"/>
      <c r="H6" s="5">
        <v>45948.0</v>
      </c>
      <c r="I6" s="18">
        <f>IFERROR(__xludf.DUMMYFUNCTION("""COMPUTED_VALUE"""),1.0)</f>
        <v>1</v>
      </c>
      <c r="J6" s="16"/>
      <c r="K6" s="17" t="str">
        <f>IFERROR(__xludf.DUMMYFUNCTION("""COMPUTED_VALUE"""),"Aún no estoy segura")</f>
        <v>Aún no estoy segura</v>
      </c>
      <c r="L6" s="17" t="str">
        <f>IFERROR(__xludf.DUMMYFUNCTION("""COMPUTED_VALUE"""),"No")</f>
        <v>No</v>
      </c>
      <c r="M6" s="2" t="s">
        <v>36</v>
      </c>
      <c r="N6" s="16"/>
      <c r="O6" s="13">
        <v>180.0</v>
      </c>
      <c r="P6" s="9">
        <v>12.0</v>
      </c>
      <c r="Q6" s="9">
        <v>192.0</v>
      </c>
      <c r="R6" s="9">
        <v>192.0</v>
      </c>
      <c r="S6" s="9">
        <v>0.0</v>
      </c>
      <c r="T6" s="16"/>
      <c r="U6" s="16"/>
      <c r="V6" s="16"/>
      <c r="W6" s="14">
        <f>IFERROR(__xludf.DUMMYFUNCTION("""COMPUTED_VALUE"""),9.74606698E8)</f>
        <v>974606698</v>
      </c>
      <c r="X6" s="4" t="str">
        <f>IFERROR(__xludf.DUMMYFUNCTION("""COMPUTED_VALUE"""),"No")</f>
        <v>No</v>
      </c>
      <c r="Y6" s="4" t="str">
        <f>IFERROR(__xludf.DUMMYFUNCTION("""COMPUTED_VALUE"""),"Yaan Carl Bustamante Valdivia, 951615392, 02429804, agencia Pumacahua")</f>
        <v>Yaan Carl Bustamante Valdivia, 951615392, 02429804, agencia Pumacahua</v>
      </c>
      <c r="Z6" s="4" t="str">
        <f>IFERROR(__xludf.DUMMYFUNCTION("""COMPUTED_VALUE"""),"Para mi")</f>
        <v>Para mi</v>
      </c>
      <c r="AA6" s="16"/>
      <c r="AB6" s="19" t="str">
        <f>IFERROR(__xludf.DUMMYFUNCTION("""COMPUTED_VALUE"""),"Sandra")</f>
        <v>Sandra</v>
      </c>
      <c r="AC6" s="16" t="s">
        <v>54</v>
      </c>
      <c r="AD6" s="4" t="str">
        <f>IFERROR(__xludf.DUMMYFUNCTION("""COMPUTED_VALUE"""),"No")</f>
        <v>No</v>
      </c>
      <c r="AE6" s="4" t="str">
        <f>IFERROR(__xludf.DUMMYFUNCTION("""COMPUTED_VALUE"""),"No es de mascotita")</f>
        <v>No es de mascotita</v>
      </c>
      <c r="AF6" s="16"/>
      <c r="AG6" s="16"/>
    </row>
    <row r="7" ht="15.75" customHeight="1">
      <c r="A7" s="20" t="s">
        <v>55</v>
      </c>
      <c r="B7" s="11" t="s">
        <v>33</v>
      </c>
      <c r="C7" s="21" t="str">
        <f>IFERROR(__xludf.DUMMYFUNCTION("""COMPUTED_VALUE"""),"Ximena Villanueva Paz")</f>
        <v>Ximena Villanueva Paz</v>
      </c>
      <c r="D7" s="2" t="s">
        <v>56</v>
      </c>
      <c r="E7" s="21" t="str">
        <f>IFERROR(__xludf.DUMMYFUNCTION("""COMPUTED_VALUE"""),"CL01 Collar dije circular 1.5cm s/149")</f>
        <v>CL01 Collar dije circular 1.5cm s/149</v>
      </c>
      <c r="F7" s="5">
        <v>45942.0</v>
      </c>
      <c r="G7" s="5"/>
      <c r="H7" s="5">
        <v>45947.0</v>
      </c>
      <c r="I7" s="21">
        <f>IFERROR(__xludf.DUMMYFUNCTION("""COMPUTED_VALUE"""),1.0)</f>
        <v>1</v>
      </c>
      <c r="J7" s="20"/>
      <c r="K7" s="21" t="str">
        <f>IFERROR(__xludf.DUMMYFUNCTION("""COMPUTED_VALUE"""),"Sí")</f>
        <v>Sí</v>
      </c>
      <c r="L7" s="21" t="str">
        <f>IFERROR(__xludf.DUMMYFUNCTION("""COMPUTED_VALUE"""),"No")</f>
        <v>No</v>
      </c>
      <c r="M7" s="2" t="s">
        <v>57</v>
      </c>
      <c r="N7" s="20"/>
      <c r="O7" s="13">
        <v>59.0</v>
      </c>
      <c r="P7" s="9">
        <v>0.0</v>
      </c>
      <c r="Q7" s="9">
        <f t="shared" ref="Q7:Q8" si="4">O7+P7</f>
        <v>59</v>
      </c>
      <c r="R7" s="9">
        <v>0.0</v>
      </c>
      <c r="S7" s="9">
        <f t="shared" ref="S7:S8" si="5">Q7-R7</f>
        <v>59</v>
      </c>
      <c r="T7" s="20"/>
      <c r="U7" s="20"/>
      <c r="V7" s="20"/>
      <c r="W7" s="21">
        <f>IFERROR(__xludf.DUMMYFUNCTION("""COMPUTED_VALUE"""),9.97861203E8)</f>
        <v>997861203</v>
      </c>
      <c r="X7" s="21" t="str">
        <f>IFERROR(__xludf.DUMMYFUNCTION("""COMPUTED_VALUE"""),"-")</f>
        <v>-</v>
      </c>
      <c r="Y7" s="21" t="str">
        <f>IFERROR(__xludf.DUMMYFUNCTION("""COMPUTED_VALUE"""),"-")</f>
        <v>-</v>
      </c>
      <c r="Z7" s="21" t="str">
        <f>IFERROR(__xludf.DUMMYFUNCTION("""COMPUTED_VALUE"""),"Amigas ")</f>
        <v>Amigas </v>
      </c>
      <c r="AA7" s="20"/>
      <c r="AB7" s="22" t="str">
        <f>IFERROR(__xludf.DUMMYFUNCTION("""COMPUTED_VALUE"""),"Sandra")</f>
        <v>Sandra</v>
      </c>
      <c r="AC7" s="20" t="s">
        <v>58</v>
      </c>
      <c r="AD7" s="21" t="str">
        <f>IFERROR(__xludf.DUMMYFUNCTION("""COMPUTED_VALUE"""),"Pedido para el viernes 17 de oct")</f>
        <v>Pedido para el viernes 17 de oct</v>
      </c>
      <c r="AE7" s="21" t="str">
        <f>IFERROR(__xludf.DUMMYFUNCTION("""COMPUTED_VALUE"""),"La mascotita está contigo  🐾🎉")</f>
        <v>La mascotita está contigo  🐾🎉</v>
      </c>
      <c r="AF7" s="20"/>
      <c r="AG7" s="20"/>
    </row>
    <row r="8" ht="15.75" customHeight="1">
      <c r="A8" s="20" t="s">
        <v>59</v>
      </c>
      <c r="B8" s="11" t="s">
        <v>33</v>
      </c>
      <c r="C8" s="21" t="str">
        <f>IFERROR(__xludf.DUMMYFUNCTION("""COMPUTED_VALUE"""),"Ximena Villanueva Paz")</f>
        <v>Ximena Villanueva Paz</v>
      </c>
      <c r="D8" s="2" t="s">
        <v>56</v>
      </c>
      <c r="E8" s="21" t="str">
        <f>IFERROR(__xludf.DUMMYFUNCTION("""COMPUTED_VALUE"""),"CL01 Collar dije circular 1.5cm s/149")</f>
        <v>CL01 Collar dije circular 1.5cm s/149</v>
      </c>
      <c r="F8" s="5">
        <v>45942.0</v>
      </c>
      <c r="G8" s="5"/>
      <c r="H8" s="5">
        <v>45947.0</v>
      </c>
      <c r="I8" s="21">
        <f>IFERROR(__xludf.DUMMYFUNCTION("""COMPUTED_VALUE"""),1.0)</f>
        <v>1</v>
      </c>
      <c r="J8" s="20"/>
      <c r="K8" s="21" t="str">
        <f>IFERROR(__xludf.DUMMYFUNCTION("""COMPUTED_VALUE"""),"Sí")</f>
        <v>Sí</v>
      </c>
      <c r="L8" s="21" t="str">
        <f>IFERROR(__xludf.DUMMYFUNCTION("""COMPUTED_VALUE"""),"No")</f>
        <v>No</v>
      </c>
      <c r="M8" s="2" t="s">
        <v>57</v>
      </c>
      <c r="N8" s="20"/>
      <c r="O8" s="13">
        <v>59.0</v>
      </c>
      <c r="P8" s="9">
        <v>0.0</v>
      </c>
      <c r="Q8" s="9">
        <f t="shared" si="4"/>
        <v>59</v>
      </c>
      <c r="R8" s="9">
        <v>0.0</v>
      </c>
      <c r="S8" s="9">
        <f t="shared" si="5"/>
        <v>59</v>
      </c>
      <c r="T8" s="20"/>
      <c r="U8" s="20"/>
      <c r="V8" s="20"/>
      <c r="W8" s="21">
        <f>IFERROR(__xludf.DUMMYFUNCTION("""COMPUTED_VALUE"""),9.97861203E8)</f>
        <v>997861203</v>
      </c>
      <c r="X8" s="21" t="str">
        <f>IFERROR(__xludf.DUMMYFUNCTION("""COMPUTED_VALUE"""),"-")</f>
        <v>-</v>
      </c>
      <c r="Y8" s="21" t="str">
        <f>IFERROR(__xludf.DUMMYFUNCTION("""COMPUTED_VALUE"""),"-")</f>
        <v>-</v>
      </c>
      <c r="Z8" s="21" t="str">
        <f>IFERROR(__xludf.DUMMYFUNCTION("""COMPUTED_VALUE"""),"Amigas ")</f>
        <v>Amigas </v>
      </c>
      <c r="AA8" s="20"/>
      <c r="AB8" s="22" t="str">
        <f>IFERROR(__xludf.DUMMYFUNCTION("""COMPUTED_VALUE"""),"Sandra")</f>
        <v>Sandra</v>
      </c>
      <c r="AC8" s="20" t="s">
        <v>60</v>
      </c>
      <c r="AD8" s="21" t="str">
        <f>IFERROR(__xludf.DUMMYFUNCTION("""COMPUTED_VALUE"""),"Pedido para el viernes 24 de oct")</f>
        <v>Pedido para el viernes 24 de oct</v>
      </c>
      <c r="AE8" s="21" t="str">
        <f>IFERROR(__xludf.DUMMYFUNCTION("""COMPUTED_VALUE"""),"La mascotita está contigo  🐾🎉")</f>
        <v>La mascotita está contigo  🐾🎉</v>
      </c>
      <c r="AF8" s="20"/>
      <c r="AG8" s="20"/>
    </row>
    <row r="9" ht="15.75" customHeight="1">
      <c r="A9" s="20" t="s">
        <v>61</v>
      </c>
      <c r="B9" s="11" t="s">
        <v>33</v>
      </c>
      <c r="C9" s="21" t="str">
        <f>IFERROR(__xludf.DUMMYFUNCTION("""COMPUTED_VALUE"""),"Sandra")</f>
        <v>Sandra</v>
      </c>
      <c r="D9" s="2" t="s">
        <v>34</v>
      </c>
      <c r="E9" s="21" t="str">
        <f>IFERROR(__xludf.DUMMYFUNCTION("""COMPUTED_VALUE"""),"Circular Maltes Pulsera")</f>
        <v>Circular Maltes Pulsera</v>
      </c>
      <c r="F9" s="5">
        <v>45953.0</v>
      </c>
      <c r="G9" s="5"/>
      <c r="H9" s="5">
        <v>45955.0</v>
      </c>
      <c r="I9" s="21">
        <f>IFERROR(__xludf.DUMMYFUNCTION("""COMPUTED_VALUE"""),1.0)</f>
        <v>1</v>
      </c>
      <c r="J9" s="20"/>
      <c r="K9" s="21" t="str">
        <f>IFERROR(__xludf.DUMMYFUNCTION("""COMPUTED_VALUE"""),"x")</f>
        <v>x</v>
      </c>
      <c r="L9" s="21" t="str">
        <f>IFERROR(__xludf.DUMMYFUNCTION("""COMPUTED_VALUE"""),"x")</f>
        <v>x</v>
      </c>
      <c r="M9" s="2" t="s">
        <v>36</v>
      </c>
      <c r="N9" s="20"/>
      <c r="O9" s="8">
        <v>0.0</v>
      </c>
      <c r="P9" s="9">
        <v>0.0</v>
      </c>
      <c r="Q9" s="9">
        <v>0.0</v>
      </c>
      <c r="R9" s="9">
        <v>0.0</v>
      </c>
      <c r="S9" s="9">
        <v>0.0</v>
      </c>
      <c r="T9" s="20"/>
      <c r="U9" s="20"/>
      <c r="V9" s="20"/>
      <c r="W9" s="21" t="str">
        <f>IFERROR(__xludf.DUMMYFUNCTION("""COMPUTED_VALUE"""),"x")</f>
        <v>x</v>
      </c>
      <c r="X9" s="21" t="str">
        <f>IFERROR(__xludf.DUMMYFUNCTION("""COMPUTED_VALUE"""),"x")</f>
        <v>x</v>
      </c>
      <c r="Y9" s="21" t="str">
        <f>IFERROR(__xludf.DUMMYFUNCTION("""COMPUTED_VALUE"""),"x")</f>
        <v>x</v>
      </c>
      <c r="Z9" s="21" t="str">
        <f>IFERROR(__xludf.DUMMYFUNCTION("""COMPUTED_VALUE"""),"Stock")</f>
        <v>Stock</v>
      </c>
      <c r="AA9" s="20"/>
      <c r="AB9" s="22" t="str">
        <f>IFERROR(__xludf.DUMMYFUNCTION("""COMPUTED_VALUE"""),"Sandra")</f>
        <v>Sandra</v>
      </c>
      <c r="AC9" s="20"/>
      <c r="AD9" s="21" t="str">
        <f>IFERROR(__xludf.DUMMYFUNCTION("""COMPUTED_VALUE"""),"ya diseño listo")</f>
        <v>ya diseño listo</v>
      </c>
      <c r="AE9" s="21" t="str">
        <f>IFERROR(__xludf.DUMMYFUNCTION("""COMPUTED_VALUE"""),"La mascotita está contigo  🐾🎉")</f>
        <v>La mascotita está contigo  🐾🎉</v>
      </c>
      <c r="AF9" s="20"/>
      <c r="AG9" s="20"/>
    </row>
    <row r="10" ht="15.75" customHeight="1">
      <c r="A10" s="20" t="s">
        <v>62</v>
      </c>
      <c r="B10" s="11" t="s">
        <v>33</v>
      </c>
      <c r="C10" s="21" t="str">
        <f>IFERROR(__xludf.DUMMYFUNCTION("""COMPUTED_VALUE"""),"Sandra")</f>
        <v>Sandra</v>
      </c>
      <c r="D10" s="2" t="s">
        <v>34</v>
      </c>
      <c r="E10" s="21" t="str">
        <f>IFERROR(__xludf.DUMMYFUNCTION("""COMPUTED_VALUE"""),"circular yorki")</f>
        <v>circular yorki</v>
      </c>
      <c r="F10" s="23">
        <v>45953.0</v>
      </c>
      <c r="G10" s="5"/>
      <c r="H10" s="5">
        <v>45955.0</v>
      </c>
      <c r="I10" s="21">
        <f>IFERROR(__xludf.DUMMYFUNCTION("""COMPUTED_VALUE"""),1.0)</f>
        <v>1</v>
      </c>
      <c r="J10" s="20"/>
      <c r="K10" s="21" t="str">
        <f>IFERROR(__xludf.DUMMYFUNCTION("""COMPUTED_VALUE"""),".")</f>
        <v>.</v>
      </c>
      <c r="L10" s="21" t="str">
        <f>IFERROR(__xludf.DUMMYFUNCTION("""COMPUTED_VALUE"""),".")</f>
        <v>.</v>
      </c>
      <c r="M10" s="2" t="s">
        <v>36</v>
      </c>
      <c r="N10" s="20"/>
      <c r="O10" s="8">
        <v>0.0</v>
      </c>
      <c r="P10" s="9">
        <v>0.0</v>
      </c>
      <c r="Q10" s="9">
        <v>0.0</v>
      </c>
      <c r="R10" s="9">
        <v>0.0</v>
      </c>
      <c r="S10" s="9">
        <v>0.0</v>
      </c>
      <c r="T10" s="20"/>
      <c r="U10" s="20"/>
      <c r="V10" s="20"/>
      <c r="W10" s="21" t="str">
        <f>IFERROR(__xludf.DUMMYFUNCTION("""COMPUTED_VALUE"""),".")</f>
        <v>.</v>
      </c>
      <c r="X10" s="21" t="str">
        <f>IFERROR(__xludf.DUMMYFUNCTION("""COMPUTED_VALUE"""),".")</f>
        <v>.</v>
      </c>
      <c r="Y10" s="21" t="str">
        <f>IFERROR(__xludf.DUMMYFUNCTION("""COMPUTED_VALUE"""),".")</f>
        <v>.</v>
      </c>
      <c r="Z10" s="21" t="str">
        <f>IFERROR(__xludf.DUMMYFUNCTION("""COMPUTED_VALUE"""),"cliente ig")</f>
        <v>cliente ig</v>
      </c>
      <c r="AA10" s="20"/>
      <c r="AB10" s="22" t="str">
        <f>IFERROR(__xludf.DUMMYFUNCTION("""COMPUTED_VALUE"""),"Sandra")</f>
        <v>Sandra</v>
      </c>
      <c r="AC10" s="20"/>
      <c r="AD10" s="21" t="str">
        <f>IFERROR(__xludf.DUMMYFUNCTION("""COMPUTED_VALUE"""),"circular con Jack Russel otro modelo")</f>
        <v>circular con Jack Russel otro modelo</v>
      </c>
      <c r="AE10" s="21" t="str">
        <f>IFERROR(__xludf.DUMMYFUNCTION("""COMPUTED_VALUE"""),"La mascotita está contigo  🐾🎉")</f>
        <v>La mascotita está contigo  🐾🎉</v>
      </c>
      <c r="AF10" s="20"/>
      <c r="AG10" s="20"/>
    </row>
    <row r="11" ht="15.75" customHeight="1">
      <c r="A11" s="20" t="s">
        <v>63</v>
      </c>
      <c r="B11" s="11" t="s">
        <v>33</v>
      </c>
      <c r="C11" s="21" t="str">
        <f>IFERROR(__xludf.DUMMYFUNCTION("""COMPUTED_VALUE"""),"Sandra")</f>
        <v>Sandra</v>
      </c>
      <c r="D11" s="2" t="s">
        <v>34</v>
      </c>
      <c r="E11" s="21" t="str">
        <f>IFERROR(__xludf.DUMMYFUNCTION("""COMPUTED_VALUE"""),"circular Pom")</f>
        <v>circular Pom</v>
      </c>
      <c r="F11" s="23">
        <v>45953.0</v>
      </c>
      <c r="G11" s="5"/>
      <c r="H11" s="5">
        <v>45955.0</v>
      </c>
      <c r="I11" s="21">
        <f>IFERROR(__xludf.DUMMYFUNCTION("""COMPUTED_VALUE"""),1.0)</f>
        <v>1</v>
      </c>
      <c r="J11" s="20"/>
      <c r="K11" s="21" t="str">
        <f>IFERROR(__xludf.DUMMYFUNCTION("""COMPUTED_VALUE"""),"x")</f>
        <v>x</v>
      </c>
      <c r="L11" s="21" t="str">
        <f>IFERROR(__xludf.DUMMYFUNCTION("""COMPUTED_VALUE"""),"x")</f>
        <v>x</v>
      </c>
      <c r="M11" s="2" t="s">
        <v>36</v>
      </c>
      <c r="N11" s="20"/>
      <c r="O11" s="8">
        <v>0.0</v>
      </c>
      <c r="P11" s="9"/>
      <c r="Q11" s="9"/>
      <c r="R11" s="9"/>
      <c r="S11" s="9"/>
      <c r="T11" s="20"/>
      <c r="U11" s="20"/>
      <c r="V11" s="20"/>
      <c r="W11" s="21" t="str">
        <f>IFERROR(__xludf.DUMMYFUNCTION("""COMPUTED_VALUE"""),".")</f>
        <v>.</v>
      </c>
      <c r="X11" s="21" t="str">
        <f>IFERROR(__xludf.DUMMYFUNCTION("""COMPUTED_VALUE"""),"x")</f>
        <v>x</v>
      </c>
      <c r="Y11" s="21" t="str">
        <f>IFERROR(__xludf.DUMMYFUNCTION("""COMPUTED_VALUE"""),"x")</f>
        <v>x</v>
      </c>
      <c r="Z11" s="21" t="str">
        <f>IFERROR(__xludf.DUMMYFUNCTION("""COMPUTED_VALUE"""),"cliente ig")</f>
        <v>cliente ig</v>
      </c>
      <c r="AA11" s="20"/>
      <c r="AB11" s="22" t="str">
        <f>IFERROR(__xludf.DUMMYFUNCTION("""COMPUTED_VALUE"""),"Sandra")</f>
        <v>Sandra</v>
      </c>
      <c r="AC11" s="20"/>
      <c r="AD11" s="21" t="str">
        <f>IFERROR(__xludf.DUMMYFUNCTION("""COMPUTED_VALUE"""),"para la feria del fin de semana")</f>
        <v>para la feria del fin de semana</v>
      </c>
      <c r="AE11" s="21" t="str">
        <f>IFERROR(__xludf.DUMMYFUNCTION("""COMPUTED_VALUE"""),"La mascotita está contigo  🐾🎉")</f>
        <v>La mascotita está contigo  🐾🎉</v>
      </c>
      <c r="AF11" s="20"/>
      <c r="AG11" s="20"/>
    </row>
    <row r="12" ht="15.75" customHeight="1">
      <c r="A12" s="20" t="s">
        <v>64</v>
      </c>
      <c r="B12" s="11" t="s">
        <v>33</v>
      </c>
      <c r="C12" s="21" t="str">
        <f>IFERROR(__xludf.DUMMYFUNCTION("""COMPUTED_VALUE"""),"Sandra")</f>
        <v>Sandra</v>
      </c>
      <c r="D12" s="2" t="s">
        <v>34</v>
      </c>
      <c r="E12" s="21" t="str">
        <f>IFERROR(__xludf.DUMMYFUNCTION("""COMPUTED_VALUE"""),"silueta pomerania con orejas")</f>
        <v>silueta pomerania con orejas</v>
      </c>
      <c r="F12" s="23">
        <v>45953.0</v>
      </c>
      <c r="G12" s="5"/>
      <c r="H12" s="5">
        <v>45955.0</v>
      </c>
      <c r="I12" s="21">
        <f>IFERROR(__xludf.DUMMYFUNCTION("""COMPUTED_VALUE"""),1.0)</f>
        <v>1</v>
      </c>
      <c r="J12" s="20"/>
      <c r="K12" s="21" t="str">
        <f>IFERROR(__xludf.DUMMYFUNCTION("""COMPUTED_VALUE"""),".")</f>
        <v>.</v>
      </c>
      <c r="L12" s="21" t="str">
        <f>IFERROR(__xludf.DUMMYFUNCTION("""COMPUTED_VALUE"""),".")</f>
        <v>.</v>
      </c>
      <c r="M12" s="2" t="s">
        <v>36</v>
      </c>
      <c r="N12" s="20"/>
      <c r="O12" s="8">
        <v>0.0</v>
      </c>
      <c r="P12" s="9"/>
      <c r="Q12" s="9"/>
      <c r="R12" s="9"/>
      <c r="S12" s="9"/>
      <c r="T12" s="20"/>
      <c r="U12" s="20"/>
      <c r="V12" s="20"/>
      <c r="W12" s="21" t="str">
        <f>IFERROR(__xludf.DUMMYFUNCTION("""COMPUTED_VALUE"""),"x")</f>
        <v>x</v>
      </c>
      <c r="X12" s="21" t="str">
        <f>IFERROR(__xludf.DUMMYFUNCTION("""COMPUTED_VALUE"""),".")</f>
        <v>.</v>
      </c>
      <c r="Y12" s="21" t="str">
        <f>IFERROR(__xludf.DUMMYFUNCTION("""COMPUTED_VALUE"""),".")</f>
        <v>.</v>
      </c>
      <c r="Z12" s="21" t="str">
        <f>IFERROR(__xludf.DUMMYFUNCTION("""COMPUTED_VALUE"""),"feria")</f>
        <v>feria</v>
      </c>
      <c r="AA12" s="20"/>
      <c r="AB12" s="22" t="str">
        <f>IFERROR(__xludf.DUMMYFUNCTION("""COMPUTED_VALUE"""),"Sandra")</f>
        <v>Sandra</v>
      </c>
      <c r="AC12" s="20"/>
      <c r="AD12" s="21" t="str">
        <f>IFERROR(__xludf.DUMMYFUNCTION("""COMPUTED_VALUE"""),"stock")</f>
        <v>stock</v>
      </c>
      <c r="AE12" s="21" t="str">
        <f>IFERROR(__xludf.DUMMYFUNCTION("""COMPUTED_VALUE"""),"La mascotita está contigo  🐾🎉")</f>
        <v>La mascotita está contigo  🐾🎉</v>
      </c>
      <c r="AF12" s="20"/>
      <c r="AG12" s="20"/>
    </row>
    <row r="13" ht="15.75" customHeight="1">
      <c r="A13" s="20" t="s">
        <v>65</v>
      </c>
      <c r="B13" s="11" t="s">
        <v>33</v>
      </c>
      <c r="C13" s="21" t="str">
        <f>IFERROR(__xludf.DUMMYFUNCTION("""COMPUTED_VALUE"""),"Mariana Cecilia Sifuentes Moreno ")</f>
        <v>Mariana Cecilia Sifuentes Moreno </v>
      </c>
      <c r="D13" s="2" t="s">
        <v>34</v>
      </c>
      <c r="E13" s="21" t="str">
        <f>IFERROR(__xludf.DUMMYFUNCTION("""COMPUTED_VALUE"""),"Pulsera plata pom")</f>
        <v>Pulsera plata pom</v>
      </c>
      <c r="F13" s="23">
        <v>45953.0</v>
      </c>
      <c r="G13" s="5"/>
      <c r="H13" s="5">
        <v>45955.0</v>
      </c>
      <c r="I13" s="21">
        <f>IFERROR(__xludf.DUMMYFUNCTION("""COMPUTED_VALUE"""),1.0)</f>
        <v>1</v>
      </c>
      <c r="J13" s="20"/>
      <c r="K13" s="21" t="str">
        <f>IFERROR(__xludf.DUMMYFUNCTION("""COMPUTED_VALUE"""),"No")</f>
        <v>No</v>
      </c>
      <c r="L13" s="21" t="str">
        <f>IFERROR(__xludf.DUMMYFUNCTION("""COMPUTED_VALUE"""),"No")</f>
        <v>No</v>
      </c>
      <c r="M13" s="2" t="s">
        <v>36</v>
      </c>
      <c r="N13" s="20"/>
      <c r="O13" s="13">
        <v>59.0</v>
      </c>
      <c r="P13" s="9"/>
      <c r="Q13" s="9"/>
      <c r="R13" s="9"/>
      <c r="S13" s="9"/>
      <c r="T13" s="20"/>
      <c r="U13" s="20"/>
      <c r="V13" s="20"/>
      <c r="W13" s="21">
        <f>IFERROR(__xludf.DUMMYFUNCTION("""COMPUTED_VALUE"""),9.44241485E8)</f>
        <v>944241485</v>
      </c>
      <c r="X13" s="21" t="str">
        <f>IFERROR(__xludf.DUMMYFUNCTION("""COMPUTED_VALUE"""),"Mariscal Miller 1030 departamento 1403")</f>
        <v>Mariscal Miller 1030 departamento 1403</v>
      </c>
      <c r="Y13" s="21" t="str">
        <f>IFERROR(__xludf.DUMMYFUNCTION("""COMPUTED_VALUE"""),"No")</f>
        <v>No</v>
      </c>
      <c r="Z13" s="21" t="str">
        <f>IFERROR(__xludf.DUMMYFUNCTION("""COMPUTED_VALUE"""),"Para mi")</f>
        <v>Para mi</v>
      </c>
      <c r="AA13" s="20"/>
      <c r="AB13" s="22" t="str">
        <f>IFERROR(__xludf.DUMMYFUNCTION("""COMPUTED_VALUE"""),"Sandra")</f>
        <v>Sandra</v>
      </c>
      <c r="AC13" s="20"/>
      <c r="AD13" s="21" t="str">
        <f>IFERROR(__xludf.DUMMYFUNCTION("""COMPUTED_VALUE"""),"Pulsera tejida color azul oscuro")</f>
        <v>Pulsera tejida color azul oscuro</v>
      </c>
      <c r="AE13" s="21" t="str">
        <f>IFERROR(__xludf.DUMMYFUNCTION("""COMPUTED_VALUE"""),"La mascotita está contigo  🐾🎉")</f>
        <v>La mascotita está contigo  🐾🎉</v>
      </c>
      <c r="AF13" s="20"/>
      <c r="AG13" s="20"/>
    </row>
    <row r="14" ht="15.75" customHeight="1">
      <c r="A14" s="20" t="s">
        <v>66</v>
      </c>
      <c r="B14" s="11" t="s">
        <v>33</v>
      </c>
      <c r="C14" s="21" t="str">
        <f>IFERROR(__xludf.DUMMYFUNCTION("""COMPUTED_VALUE"""),"Arianne Eguez")</f>
        <v>Arianne Eguez</v>
      </c>
      <c r="D14" s="2" t="s">
        <v>34</v>
      </c>
      <c r="E14" s="21" t="str">
        <f>IFERROR(__xludf.DUMMYFUNCTION("""COMPUTED_VALUE"""),"pulsera color rojo dije colgante circular con huellita adelante y atra letra T")</f>
        <v>pulsera color rojo dije colgante circular con huellita adelante y atra letra T</v>
      </c>
      <c r="F14" s="23">
        <v>45953.0</v>
      </c>
      <c r="G14" s="5"/>
      <c r="H14" s="5">
        <v>45955.0</v>
      </c>
      <c r="I14" s="21">
        <f>IFERROR(__xludf.DUMMYFUNCTION("""COMPUTED_VALUE"""),1.0)</f>
        <v>1</v>
      </c>
      <c r="J14" s="20"/>
      <c r="K14" s="21" t="str">
        <f>IFERROR(__xludf.DUMMYFUNCTION("""COMPUTED_VALUE"""),"Si, huella lineal ")</f>
        <v>Si, huella lineal </v>
      </c>
      <c r="L14" s="21" t="str">
        <f>IFERROR(__xludf.DUMMYFUNCTION("""COMPUTED_VALUE"""),"letra T")</f>
        <v>letra T</v>
      </c>
      <c r="M14" s="2" t="s">
        <v>36</v>
      </c>
      <c r="N14" s="20"/>
      <c r="O14" s="13">
        <v>49.0</v>
      </c>
      <c r="P14" s="9"/>
      <c r="Q14" s="9"/>
      <c r="R14" s="9"/>
      <c r="S14" s="9"/>
      <c r="T14" s="20"/>
      <c r="U14" s="20"/>
      <c r="V14" s="20"/>
      <c r="W14" s="21">
        <f>IFERROR(__xludf.DUMMYFUNCTION("""COMPUTED_VALUE"""),9.06471619E8)</f>
        <v>906471619</v>
      </c>
      <c r="X14" s="21" t="str">
        <f>IFERROR(__xludf.DUMMYFUNCTION("""COMPUTED_VALUE"""),"x")</f>
        <v>x</v>
      </c>
      <c r="Y14" s="21" t="str">
        <f>IFERROR(__xludf.DUMMYFUNCTION("""COMPUTED_VALUE"""),"x")</f>
        <v>x</v>
      </c>
      <c r="Z14" s="21" t="str">
        <f>IFERROR(__xludf.DUMMYFUNCTION("""COMPUTED_VALUE"""),"Para mi")</f>
        <v>Para mi</v>
      </c>
      <c r="AA14" s="20"/>
      <c r="AB14" s="22" t="str">
        <f>IFERROR(__xludf.DUMMYFUNCTION("""COMPUTED_VALUE"""),"Sandra")</f>
        <v>Sandra</v>
      </c>
      <c r="AC14" s="20"/>
      <c r="AD14" s="21" t="str">
        <f>IFERROR(__xludf.DUMMYFUNCTION("""COMPUTED_VALUE"""),"Pulsera color rojo con dije colgante circular tamaño 1cm con huellita adelante y atras letra T")</f>
        <v>Pulsera color rojo con dije colgante circular tamaño 1cm con huellita adelante y atras letra T</v>
      </c>
      <c r="AE14" s="21" t="str">
        <f>IFERROR(__xludf.DUMMYFUNCTION("""COMPUTED_VALUE"""),"La mascotita está contigo  🐾🎉")</f>
        <v>La mascotita está contigo  🐾🎉</v>
      </c>
      <c r="AF14" s="20"/>
      <c r="AG14" s="20"/>
    </row>
    <row r="15" ht="15.75" customHeight="1">
      <c r="A15" s="20" t="s">
        <v>67</v>
      </c>
      <c r="B15" s="11" t="s">
        <v>33</v>
      </c>
      <c r="C15" s="21" t="str">
        <f>IFERROR(__xludf.DUMMYFUNCTION("""COMPUTED_VALUE"""),"Claudia- Lara")</f>
        <v>Claudia- Lara</v>
      </c>
      <c r="D15" s="2" t="s">
        <v>34</v>
      </c>
      <c r="E15" s="21" t="str">
        <f>IFERROR(__xludf.DUMMYFUNCTION("""COMPUTED_VALUE"""),"dije circular con la silueta de su perrito ")</f>
        <v>dije circular con la silueta de su perrito </v>
      </c>
      <c r="F15" s="23">
        <v>45953.0</v>
      </c>
      <c r="G15" s="5"/>
      <c r="H15" s="5">
        <v>45955.0</v>
      </c>
      <c r="I15" s="21">
        <f>IFERROR(__xludf.DUMMYFUNCTION("""COMPUTED_VALUE"""),1.0)</f>
        <v>1</v>
      </c>
      <c r="J15" s="20"/>
      <c r="K15" s="21" t="str">
        <f>IFERROR(__xludf.DUMMYFUNCTION("""COMPUTED_VALUE"""),"si grabado solo lineal de la silueta ")</f>
        <v>si grabado solo lineal de la silueta </v>
      </c>
      <c r="L15" s="21" t="str">
        <f>IFERROR(__xludf.DUMMYFUNCTION("""COMPUTED_VALUE"""),"no")</f>
        <v>no</v>
      </c>
      <c r="M15" s="2" t="s">
        <v>36</v>
      </c>
      <c r="N15" s="20"/>
      <c r="O15" s="13">
        <v>49.0</v>
      </c>
      <c r="P15" s="9"/>
      <c r="Q15" s="9"/>
      <c r="R15" s="9"/>
      <c r="S15" s="9"/>
      <c r="T15" s="20"/>
      <c r="U15" s="20"/>
      <c r="V15" s="20"/>
      <c r="W15" s="21">
        <f>IFERROR(__xludf.DUMMYFUNCTION("""COMPUTED_VALUE"""),9.82145271E8)</f>
        <v>982145271</v>
      </c>
      <c r="X15" s="21" t="str">
        <f>IFERROR(__xludf.DUMMYFUNCTION("""COMPUTED_VALUE"""),"x")</f>
        <v>x</v>
      </c>
      <c r="Y15" s="21" t="str">
        <f>IFERROR(__xludf.DUMMYFUNCTION("""COMPUTED_VALUE"""),"x")</f>
        <v>x</v>
      </c>
      <c r="Z15" s="21" t="str">
        <f>IFERROR(__xludf.DUMMYFUNCTION("""COMPUTED_VALUE"""),"Para mi")</f>
        <v>Para mi</v>
      </c>
      <c r="AA15" s="20"/>
      <c r="AB15" s="22" t="str">
        <f>IFERROR(__xludf.DUMMYFUNCTION("""COMPUTED_VALUE"""),"Sandra")</f>
        <v>Sandra</v>
      </c>
      <c r="AC15" s="20"/>
      <c r="AD15" s="21" t="str">
        <f>IFERROR(__xludf.DUMMYFUNCTION("""COMPUTED_VALUE"""),"pulsera con dije circular con orejas , silueta del perrito con hilo color por definir")</f>
        <v>pulsera con dije circular con orejas , silueta del perrito con hilo color por definir</v>
      </c>
      <c r="AE15" s="21" t="str">
        <f>IFERROR(__xludf.DUMMYFUNCTION("""COMPUTED_VALUE"""),"La mascotita está contigo  🐾🎉")</f>
        <v>La mascotita está contigo  🐾🎉</v>
      </c>
      <c r="AF15" s="20"/>
      <c r="AG15" s="20"/>
    </row>
    <row r="16" ht="15.75" customHeight="1">
      <c r="A16" s="20" t="s">
        <v>68</v>
      </c>
      <c r="B16" s="11" t="s">
        <v>33</v>
      </c>
      <c r="C16" s="21" t="str">
        <f>IFERROR(__xludf.DUMMYFUNCTION("""COMPUTED_VALUE"""),"Pierina Andreazza")</f>
        <v>Pierina Andreazza</v>
      </c>
      <c r="D16" s="2" t="s">
        <v>69</v>
      </c>
      <c r="E16" s="21" t="str">
        <f>IFERROR(__xludf.DUMMYFUNCTION("""COMPUTED_VALUE"""),"P07 Pulsera con hilo negro dije circular s/149")</f>
        <v>P07 Pulsera con hilo negro dije circular s/149</v>
      </c>
      <c r="F16" s="23">
        <v>45953.0</v>
      </c>
      <c r="G16" s="5"/>
      <c r="H16" s="5">
        <v>45955.0</v>
      </c>
      <c r="I16" s="21">
        <f>IFERROR(__xludf.DUMMYFUNCTION("""COMPUTED_VALUE"""),1.0)</f>
        <v>1</v>
      </c>
      <c r="J16" s="20"/>
      <c r="K16" s="21" t="str">
        <f>IFERROR(__xludf.DUMMYFUNCTION("""COMPUTED_VALUE"""),"Otto")</f>
        <v>Otto</v>
      </c>
      <c r="L16" s="21" t="str">
        <f>IFERROR(__xludf.DUMMYFUNCTION("""COMPUTED_VALUE"""),"no")</f>
        <v>no</v>
      </c>
      <c r="M16" s="2" t="s">
        <v>36</v>
      </c>
      <c r="N16" s="20"/>
      <c r="O16" s="13">
        <v>149.0</v>
      </c>
      <c r="P16" s="9"/>
      <c r="Q16" s="9"/>
      <c r="R16" s="9"/>
      <c r="S16" s="9"/>
      <c r="T16" s="20"/>
      <c r="U16" s="20"/>
      <c r="V16" s="20"/>
      <c r="W16" s="21">
        <f>IFERROR(__xludf.DUMMYFUNCTION("""COMPUTED_VALUE"""),9.92884218E8)</f>
        <v>992884218</v>
      </c>
      <c r="X16" s="21" t="str">
        <f>IFERROR(__xludf.DUMMYFUNCTION("""COMPUTED_VALUE"""),"Calle 10 404 Pasaje 15 Dpto 204 San Borja")</f>
        <v>Calle 10 404 Pasaje 15 Dpto 204 San Borja</v>
      </c>
      <c r="Y16" s="21" t="str">
        <f>IFERROR(__xludf.DUMMYFUNCTION("""COMPUTED_VALUE"""),"no")</f>
        <v>no</v>
      </c>
      <c r="Z16" s="21" t="str">
        <f>IFERROR(__xludf.DUMMYFUNCTION("""COMPUTED_VALUE"""),"mi hijo cumpleaños")</f>
        <v>mi hijo cumpleaños</v>
      </c>
      <c r="AA16" s="20"/>
      <c r="AB16" s="22" t="str">
        <f>IFERROR(__xludf.DUMMYFUNCTION("""COMPUTED_VALUE"""),"Sandra")</f>
        <v>Sandra</v>
      </c>
      <c r="AC16" s="20"/>
      <c r="AD16" s="21" t="str">
        <f>IFERROR(__xludf.DUMMYFUNCTION("""COMPUTED_VALUE"""),"hacer el parecido con la foto sino buscar en internet a un chihuahua, entregar el Lunes 27")</f>
        <v>hacer el parecido con la foto sino buscar en internet a un chihuahua, entregar el Lunes 27</v>
      </c>
      <c r="AE16" s="21" t="str">
        <f>IFERROR(__xludf.DUMMYFUNCTION("""COMPUTED_VALUE"""),"La mascotita está contigo  🐾🎉")</f>
        <v>La mascotita está contigo  🐾🎉</v>
      </c>
      <c r="AF16" s="20"/>
      <c r="AG16" s="20"/>
    </row>
    <row r="17" ht="15.75" customHeight="1">
      <c r="A17" s="20" t="s">
        <v>70</v>
      </c>
      <c r="B17" s="11" t="s">
        <v>33</v>
      </c>
      <c r="C17" s="21" t="str">
        <f>IFERROR(__xludf.DUMMYFUNCTION("""COMPUTED_VALUE"""),"Rosabel Alarcón")</f>
        <v>Rosabel Alarcón</v>
      </c>
      <c r="D17" s="2" t="s">
        <v>34</v>
      </c>
      <c r="E17" s="21" t="str">
        <f>IFERROR(__xludf.DUMMYFUNCTION("""COMPUTED_VALUE"""),"Collar con 2 siluetas de mascotas")</f>
        <v>Collar con 2 siluetas de mascotas</v>
      </c>
      <c r="F17" s="23">
        <v>45953.0</v>
      </c>
      <c r="G17" s="5"/>
      <c r="H17" s="5">
        <v>45955.0</v>
      </c>
      <c r="I17" s="21">
        <f>IFERROR(__xludf.DUMMYFUNCTION("""COMPUTED_VALUE"""),1.0)</f>
        <v>1</v>
      </c>
      <c r="J17" s="20"/>
      <c r="K17" s="21" t="str">
        <f>IFERROR(__xludf.DUMMYFUNCTION("""COMPUTED_VALUE"""),"2 perritos")</f>
        <v>2 perritos</v>
      </c>
      <c r="L17" s="21" t="str">
        <f>IFERROR(__xludf.DUMMYFUNCTION("""COMPUTED_VALUE"""),"no")</f>
        <v>no</v>
      </c>
      <c r="M17" s="2" t="s">
        <v>36</v>
      </c>
      <c r="N17" s="20"/>
      <c r="O17" s="8"/>
      <c r="P17" s="9"/>
      <c r="Q17" s="9"/>
      <c r="R17" s="9"/>
      <c r="S17" s="9"/>
      <c r="T17" s="20"/>
      <c r="U17" s="20"/>
      <c r="V17" s="20"/>
      <c r="W17" s="21">
        <f>IFERROR(__xludf.DUMMYFUNCTION("""COMPUTED_VALUE"""),9.22913365E8)</f>
        <v>922913365</v>
      </c>
      <c r="X17" s="21" t="str">
        <f>IFERROR(__xludf.DUMMYFUNCTION("""COMPUTED_VALUE"""),"no")</f>
        <v>no</v>
      </c>
      <c r="Y17" s="21" t="str">
        <f>IFERROR(__xludf.DUMMYFUNCTION("""COMPUTED_VALUE"""),"no")</f>
        <v>no</v>
      </c>
      <c r="Z17" s="21" t="str">
        <f>IFERROR(__xludf.DUMMYFUNCTION("""COMPUTED_VALUE"""),"Para mi")</f>
        <v>Para mi</v>
      </c>
      <c r="AA17" s="20"/>
      <c r="AB17" s="22" t="str">
        <f>IFERROR(__xludf.DUMMYFUNCTION("""COMPUTED_VALUE"""),"Sandra")</f>
        <v>Sandra</v>
      </c>
      <c r="AC17" s="20"/>
      <c r="AD17" s="21" t="str">
        <f>IFERROR(__xludf.DUMMYFUNCTION("""COMPUTED_VALUE"""),"Cadena con dije silueta de 2 perritos, enviar a Indecopi y dar 2 opciones de cadenas")</f>
        <v>Cadena con dije silueta de 2 perritos, enviar a Indecopi y dar 2 opciones de cadenas</v>
      </c>
      <c r="AE17" s="21" t="str">
        <f>IFERROR(__xludf.DUMMYFUNCTION("""COMPUTED_VALUE"""),"La mascotita está contigo  🐾🎉")</f>
        <v>La mascotita está contigo  🐾🎉</v>
      </c>
      <c r="AF17" s="20"/>
      <c r="AG17" s="20"/>
    </row>
    <row r="18" ht="15.75" customHeight="1">
      <c r="A18" s="20" t="s">
        <v>71</v>
      </c>
      <c r="B18" s="11" t="s">
        <v>33</v>
      </c>
      <c r="C18" s="21" t="str">
        <f>IFERROR(__xludf.DUMMYFUNCTION("""COMPUTED_VALUE"""),"LUIS FERNANDO VARGAS HERRERA")</f>
        <v>LUIS FERNANDO VARGAS HERRERA</v>
      </c>
      <c r="D18" s="2" t="s">
        <v>34</v>
      </c>
      <c r="E18" s="21" t="str">
        <f>IFERROR(__xludf.DUMMYFUNCTION("""COMPUTED_VALUE"""),"Dije silueta cuerpo completo ")</f>
        <v>Dije silueta cuerpo completo </v>
      </c>
      <c r="F18" s="23">
        <v>45953.0</v>
      </c>
      <c r="G18" s="5"/>
      <c r="H18" s="5">
        <v>45955.0</v>
      </c>
      <c r="I18" s="21">
        <f>IFERROR(__xludf.DUMMYFUNCTION("""COMPUTED_VALUE"""),1.0)</f>
        <v>1</v>
      </c>
      <c r="J18" s="20"/>
      <c r="K18" s="21" t="str">
        <f>IFERROR(__xludf.DUMMYFUNCTION("""COMPUTED_VALUE"""),"X")</f>
        <v>X</v>
      </c>
      <c r="L18" s="21" t="str">
        <f>IFERROR(__xludf.DUMMYFUNCTION("""COMPUTED_VALUE"""),"X")</f>
        <v>X</v>
      </c>
      <c r="M18" s="2" t="s">
        <v>36</v>
      </c>
      <c r="N18" s="20"/>
      <c r="O18" s="8">
        <v>0.0</v>
      </c>
      <c r="P18" s="9">
        <v>0.0</v>
      </c>
      <c r="Q18" s="9">
        <v>0.0</v>
      </c>
      <c r="R18" s="9">
        <v>0.0</v>
      </c>
      <c r="S18" s="9">
        <v>0.0</v>
      </c>
      <c r="T18" s="20"/>
      <c r="U18" s="20"/>
      <c r="V18" s="20"/>
      <c r="W18" s="21">
        <f>IFERROR(__xludf.DUMMYFUNCTION("""COMPUTED_VALUE"""),9.96105445E8)</f>
        <v>996105445</v>
      </c>
      <c r="X18" s="21" t="str">
        <f>IFERROR(__xludf.DUMMYFUNCTION("""COMPUTED_VALUE"""),"Luis Vargas 996105445 dni 07330102 ")</f>
        <v>Luis Vargas 996105445 dni 07330102 </v>
      </c>
      <c r="Y18" s="21" t="str">
        <f>IFERROR(__xludf.DUMMYFUNCTION("""COMPUTED_VALUE"""),"Luis Vargas 996105445 dni 07330102")</f>
        <v>Luis Vargas 996105445 dni 07330102</v>
      </c>
      <c r="Z18" s="21" t="str">
        <f>IFERROR(__xludf.DUMMYFUNCTION("""COMPUTED_VALUE"""),"Para mi")</f>
        <v>Para mi</v>
      </c>
      <c r="AA18" s="20"/>
      <c r="AB18" s="22" t="str">
        <f>IFERROR(__xludf.DUMMYFUNCTION("""COMPUTED_VALUE"""),"Sandra")</f>
        <v>Sandra</v>
      </c>
      <c r="AC18" s="20" t="s">
        <v>72</v>
      </c>
      <c r="AD18" s="21" t="str">
        <f>IFERROR(__xludf.DUMMYFUNCTION("""COMPUTED_VALUE"""),"En plata con baño de oro")</f>
        <v>En plata con baño de oro</v>
      </c>
      <c r="AE18" s="21" t="str">
        <f>IFERROR(__xludf.DUMMYFUNCTION("""COMPUTED_VALUE"""),"La mascotita está contigo  🐾🎉")</f>
        <v>La mascotita está contigo  🐾🎉</v>
      </c>
      <c r="AF18" s="20"/>
      <c r="AG18" s="20"/>
    </row>
    <row r="19" ht="15.75" customHeight="1">
      <c r="A19" s="20" t="s">
        <v>73</v>
      </c>
      <c r="B19" s="11" t="s">
        <v>33</v>
      </c>
      <c r="C19" s="21" t="str">
        <f>IFERROR(__xludf.DUMMYFUNCTION("""COMPUTED_VALUE"""),"Sandra")</f>
        <v>Sandra</v>
      </c>
      <c r="D19" s="20"/>
      <c r="E19" s="21" t="str">
        <f>IFERROR(__xludf.DUMMYFUNCTION("""COMPUTED_VALUE"""),"dije circular 1.3cm con orejas jack russell")</f>
        <v>dije circular 1.3cm con orejas jack russell</v>
      </c>
      <c r="F19" s="23">
        <v>45958.0</v>
      </c>
      <c r="G19" s="5"/>
      <c r="H19" s="5">
        <v>45961.0</v>
      </c>
      <c r="I19" s="21">
        <f>IFERROR(__xludf.DUMMYFUNCTION("""COMPUTED_VALUE"""),1.0)</f>
        <v>1</v>
      </c>
      <c r="J19" s="20"/>
      <c r="K19" s="21" t="str">
        <f>IFERROR(__xludf.DUMMYFUNCTION("""COMPUTED_VALUE"""),"si")</f>
        <v>si</v>
      </c>
      <c r="L19" s="21" t="str">
        <f>IFERROR(__xludf.DUMMYFUNCTION("""COMPUTED_VALUE"""),"no")</f>
        <v>no</v>
      </c>
      <c r="M19" s="20" t="s">
        <v>36</v>
      </c>
      <c r="N19" s="20"/>
      <c r="O19" s="20">
        <v>0.0</v>
      </c>
      <c r="P19" s="20">
        <v>0.0</v>
      </c>
      <c r="Q19" s="20">
        <v>0.0</v>
      </c>
      <c r="R19" s="20">
        <v>0.0</v>
      </c>
      <c r="S19" s="20">
        <v>0.0</v>
      </c>
      <c r="T19" s="20"/>
      <c r="U19" s="20"/>
      <c r="V19" s="20"/>
      <c r="W19" s="21" t="str">
        <f>IFERROR(__xludf.DUMMYFUNCTION("""COMPUTED_VALUE"""),"xx")</f>
        <v>xx</v>
      </c>
      <c r="X19" s="21" t="str">
        <f>IFERROR(__xludf.DUMMYFUNCTION("""COMPUTED_VALUE"""),"no")</f>
        <v>no</v>
      </c>
      <c r="Y19" s="21" t="str">
        <f>IFERROR(__xludf.DUMMYFUNCTION("""COMPUTED_VALUE"""),"no")</f>
        <v>no</v>
      </c>
      <c r="Z19" s="21" t="str">
        <f>IFERROR(__xludf.DUMMYFUNCTION("""COMPUTED_VALUE"""),"stock")</f>
        <v>stock</v>
      </c>
      <c r="AA19" s="20"/>
      <c r="AB19" s="22" t="str">
        <f>IFERROR(__xludf.DUMMYFUNCTION("""COMPUTED_VALUE"""),"Sandra")</f>
        <v>Sandra</v>
      </c>
      <c r="AC19" s="20" t="s">
        <v>74</v>
      </c>
      <c r="AD19" s="21" t="str">
        <f>IFERROR(__xludf.DUMMYFUNCTION("""COMPUTED_VALUE"""),"dije circular 1.3cm con orejas")</f>
        <v>dije circular 1.3cm con orejas</v>
      </c>
      <c r="AE19" s="21" t="str">
        <f>IFERROR(__xludf.DUMMYFUNCTION("""COMPUTED_VALUE"""),"La mascotita está contigo  🐾🎉")</f>
        <v>La mascotita está contigo  🐾🎉</v>
      </c>
      <c r="AF19" s="20"/>
      <c r="AG19" s="20"/>
    </row>
    <row r="20" ht="15.75" customHeight="1">
      <c r="A20" s="20" t="s">
        <v>75</v>
      </c>
      <c r="B20" s="11" t="s">
        <v>33</v>
      </c>
      <c r="C20" s="21" t="str">
        <f>IFERROR(__xludf.DUMMYFUNCTION("""COMPUTED_VALUE"""),"Erika Meder Freyre")</f>
        <v>Erika Meder Freyre</v>
      </c>
      <c r="D20" s="2" t="s">
        <v>34</v>
      </c>
      <c r="E20" s="21" t="str">
        <f>IFERROR(__xludf.DUMMYFUNCTION("""COMPUTED_VALUE"""),"Pulsera con huella")</f>
        <v>Pulsera con huella</v>
      </c>
      <c r="F20" s="23">
        <v>45961.0</v>
      </c>
      <c r="G20" s="5"/>
      <c r="H20" s="5">
        <v>45969.0</v>
      </c>
      <c r="I20" s="21">
        <f>IFERROR(__xludf.DUMMYFUNCTION("""COMPUTED_VALUE"""),1.0)</f>
        <v>1</v>
      </c>
      <c r="J20" s="20"/>
      <c r="K20" s="21" t="str">
        <f>IFERROR(__xludf.DUMMYFUNCTION("""COMPUTED_VALUE"""),"Si")</f>
        <v>Si</v>
      </c>
      <c r="L20" s="21" t="str">
        <f>IFERROR(__xludf.DUMMYFUNCTION("""COMPUTED_VALUE"""),"No")</f>
        <v>No</v>
      </c>
      <c r="M20" s="20" t="s">
        <v>36</v>
      </c>
      <c r="N20" s="20"/>
      <c r="O20" s="24">
        <v>119.0</v>
      </c>
      <c r="P20" s="20">
        <v>12.0</v>
      </c>
      <c r="Q20" s="20">
        <v>131.0</v>
      </c>
      <c r="R20" s="20">
        <v>66.0</v>
      </c>
      <c r="S20" s="20">
        <v>65.0</v>
      </c>
      <c r="T20" s="20"/>
      <c r="U20" s="20"/>
      <c r="V20" s="20"/>
      <c r="W20" s="21">
        <f>IFERROR(__xludf.DUMMYFUNCTION("""COMPUTED_VALUE"""),9.62828484E8)</f>
        <v>962828484</v>
      </c>
      <c r="X20" s="21" t="str">
        <f>IFERROR(__xludf.DUMMYFUNCTION("""COMPUTED_VALUE"""),"Erika 962828484")</f>
        <v>Erika 962828484</v>
      </c>
      <c r="Y20" s="21" t="str">
        <f>IFERROR(__xludf.DUMMYFUNCTION("""COMPUTED_VALUE"""),"No")</f>
        <v>No</v>
      </c>
      <c r="Z20" s="21" t="str">
        <f>IFERROR(__xludf.DUMMYFUNCTION("""COMPUTED_VALUE"""),"Para mi")</f>
        <v>Para mi</v>
      </c>
      <c r="AA20" s="20"/>
      <c r="AB20" s="22" t="str">
        <f>IFERROR(__xludf.DUMMYFUNCTION("""COMPUTED_VALUE"""),"Daniela")</f>
        <v>Daniela</v>
      </c>
      <c r="AC20" s="20" t="s">
        <v>76</v>
      </c>
      <c r="AD20" s="21" t="str">
        <f>IFERROR(__xludf.DUMMYFUNCTION("""COMPUTED_VALUE"""),"Huella con nombre de mascota")</f>
        <v>Huella con nombre de mascota</v>
      </c>
      <c r="AE20" s="21" t="str">
        <f>IFERROR(__xludf.DUMMYFUNCTION("""COMPUTED_VALUE"""),"La mascotita está contigo  🐾🎉")</f>
        <v>La mascotita está contigo  🐾🎉</v>
      </c>
      <c r="AF20" s="20"/>
      <c r="AG20" s="20"/>
    </row>
    <row r="21" ht="15.75" customHeight="1">
      <c r="A21" s="20" t="s">
        <v>77</v>
      </c>
      <c r="B21" s="11" t="s">
        <v>33</v>
      </c>
      <c r="C21" s="21" t="str">
        <f>IFERROR(__xludf.DUMMYFUNCTION("""COMPUTED_VALUE"""),"Mariela solano vilela ")</f>
        <v>Mariela solano vilela </v>
      </c>
      <c r="D21" s="2" t="s">
        <v>34</v>
      </c>
      <c r="E21" s="21" t="str">
        <f>IFERROR(__xludf.DUMMYFUNCTION("""COMPUTED_VALUE"""),"DL01 Dije circular solo 1.5cm s/119")</f>
        <v>DL01 Dije circular solo 1.5cm s/119</v>
      </c>
      <c r="F21" s="23">
        <v>45964.0</v>
      </c>
      <c r="G21" s="5"/>
      <c r="H21" s="5">
        <v>45968.0</v>
      </c>
      <c r="I21" s="21">
        <f>IFERROR(__xludf.DUMMYFUNCTION("""COMPUTED_VALUE"""),1.0)</f>
        <v>1</v>
      </c>
      <c r="J21" s="20"/>
      <c r="K21" s="21" t="str">
        <f>IFERROR(__xludf.DUMMYFUNCTION("""COMPUTED_VALUE"""),"Ok")</f>
        <v>Ok</v>
      </c>
      <c r="L21" s="21" t="str">
        <f>IFERROR(__xludf.DUMMYFUNCTION("""COMPUTED_VALUE"""),"Ok")</f>
        <v>Ok</v>
      </c>
      <c r="M21" s="20"/>
      <c r="N21" s="20"/>
      <c r="O21" s="24">
        <v>119.0</v>
      </c>
      <c r="P21" s="20">
        <v>12.0</v>
      </c>
      <c r="Q21" s="20">
        <v>131.0</v>
      </c>
      <c r="R21" s="20">
        <v>0.0</v>
      </c>
      <c r="S21" s="20">
        <v>131.0</v>
      </c>
      <c r="T21" s="20"/>
      <c r="U21" s="20"/>
      <c r="V21" s="20"/>
      <c r="W21" s="21">
        <f>IFERROR(__xludf.DUMMYFUNCTION("""COMPUTED_VALUE"""),9.92756602E8)</f>
        <v>992756602</v>
      </c>
      <c r="X21" s="21" t="str">
        <f>IFERROR(__xludf.DUMMYFUNCTION("""COMPUTED_VALUE"""),"Av roca y boloña 1210 miraflores  sr roberto")</f>
        <v>Av roca y boloña 1210 miraflores  sr roberto</v>
      </c>
      <c r="Y21" s="21" t="str">
        <f>IFERROR(__xludf.DUMMYFUNCTION("""COMPUTED_VALUE"""),"Av roca y boloña 1210 miraflores sr Roberto")</f>
        <v>Av roca y boloña 1210 miraflores sr Roberto</v>
      </c>
      <c r="Z21" s="21" t="str">
        <f>IFERROR(__xludf.DUMMYFUNCTION("""COMPUTED_VALUE"""),"Para mi")</f>
        <v>Para mi</v>
      </c>
      <c r="AA21" s="20"/>
      <c r="AB21" s="22" t="str">
        <f>IFERROR(__xludf.DUMMYFUNCTION("""COMPUTED_VALUE"""),"Sandra")</f>
        <v>Sandra</v>
      </c>
      <c r="AC21" s="20"/>
      <c r="AD21" s="21" t="str">
        <f>IFERROR(__xludf.DUMMYFUNCTION("""COMPUTED_VALUE"""),"Por favor avisar cuando estén en camino a mi celular ya que aveces no estamos y portería esta antes de la 6pm se va gracias ")</f>
        <v>Por favor avisar cuando estén en camino a mi celular ya que aveces no estamos y portería esta antes de la 6pm se va gracias </v>
      </c>
      <c r="AE21" s="21" t="str">
        <f>IFERROR(__xludf.DUMMYFUNCTION("""COMPUTED_VALUE"""),"La mascotita está contigo  🐾🎉")</f>
        <v>La mascotita está contigo  🐾🎉</v>
      </c>
      <c r="AF21" s="20"/>
      <c r="AG21" s="20"/>
    </row>
    <row r="22" ht="15.75" customHeight="1">
      <c r="A22" s="20" t="s">
        <v>78</v>
      </c>
      <c r="B22" s="11" t="s">
        <v>33</v>
      </c>
      <c r="C22" s="21" t="str">
        <f>IFERROR(__xludf.DUMMYFUNCTION("""COMPUTED_VALUE"""),"Mariana Cecilia Sifuentes Moreno")</f>
        <v>Mariana Cecilia Sifuentes Moreno</v>
      </c>
      <c r="D22" s="20"/>
      <c r="E22" s="21" t="str">
        <f>IFERROR(__xludf.DUMMYFUNCTION("""COMPUTED_VALUE"""),"CL01 Collar dije circular 1.5cm s/149")</f>
        <v>CL01 Collar dije circular 1.5cm s/149</v>
      </c>
      <c r="F22" s="23">
        <v>45965.0</v>
      </c>
      <c r="G22" s="5"/>
      <c r="H22" s="5">
        <v>45968.0</v>
      </c>
      <c r="I22" s="21">
        <f>IFERROR(__xludf.DUMMYFUNCTION("""COMPUTED_VALUE"""),1.0)</f>
        <v>1</v>
      </c>
      <c r="J22" s="20"/>
      <c r="K22" s="21" t="str">
        <f>IFERROR(__xludf.DUMMYFUNCTION("""COMPUTED_VALUE"""),"Yeontan")</f>
        <v>Yeontan</v>
      </c>
      <c r="L22" s="21" t="str">
        <f>IFERROR(__xludf.DUMMYFUNCTION("""COMPUTED_VALUE"""),"No")</f>
        <v>No</v>
      </c>
      <c r="M22" s="20" t="s">
        <v>36</v>
      </c>
      <c r="N22" s="20"/>
      <c r="O22" s="24">
        <v>149.0</v>
      </c>
      <c r="P22" s="20">
        <v>0.0</v>
      </c>
      <c r="Q22" s="20">
        <v>149.0</v>
      </c>
      <c r="R22" s="20">
        <v>74.5</v>
      </c>
      <c r="S22" s="20">
        <v>74.5</v>
      </c>
      <c r="T22" s="20"/>
      <c r="U22" s="20"/>
      <c r="V22" s="20"/>
      <c r="W22" s="21">
        <f>IFERROR(__xludf.DUMMYFUNCTION("""COMPUTED_VALUE"""),9.44241485E8)</f>
        <v>944241485</v>
      </c>
      <c r="X22" s="21" t="str">
        <f>IFERROR(__xludf.DUMMYFUNCTION("""COMPUTED_VALUE"""),"Mariana Sifuentes ( 944241485)")</f>
        <v>Mariana Sifuentes ( 944241485)</v>
      </c>
      <c r="Y22" s="21" t="str">
        <f>IFERROR(__xludf.DUMMYFUNCTION("""COMPUTED_VALUE"""),"No")</f>
        <v>No</v>
      </c>
      <c r="Z22" s="21" t="str">
        <f>IFERROR(__xludf.DUMMYFUNCTION("""COMPUTED_VALUE"""),"Para mi")</f>
        <v>Para mi</v>
      </c>
      <c r="AA22" s="20"/>
      <c r="AB22" s="22" t="str">
        <f>IFERROR(__xludf.DUMMYFUNCTION("""COMPUTED_VALUE"""),"Sandra")</f>
        <v>Sandra</v>
      </c>
      <c r="AC22" s="20" t="s">
        <v>79</v>
      </c>
      <c r="AD22" s="21" t="str">
        <f>IFERROR(__xludf.DUMMYFUNCTION("""COMPUTED_VALUE"""),"Ninguna")</f>
        <v>Ninguna</v>
      </c>
      <c r="AE22" s="21" t="str">
        <f>IFERROR(__xludf.DUMMYFUNCTION("""COMPUTED_VALUE"""),"La mascotita está contigo  🐾🎉")</f>
        <v>La mascotita está contigo  🐾🎉</v>
      </c>
      <c r="AF22" s="20"/>
      <c r="AG22" s="20"/>
    </row>
    <row r="23" ht="15.75" customHeight="1">
      <c r="A23" s="20" t="s">
        <v>80</v>
      </c>
      <c r="B23" s="11" t="s">
        <v>33</v>
      </c>
      <c r="C23" s="21" t="str">
        <f>IFERROR(__xludf.DUMMYFUNCTION("""COMPUTED_VALUE"""),"Solange Castro ")</f>
        <v>Solange Castro </v>
      </c>
      <c r="D23" s="20"/>
      <c r="E23" s="21" t="str">
        <f>IFERROR(__xludf.DUMMYFUNCTION("""COMPUTED_VALUE"""),"Collar con dije cabecita y nombre")</f>
        <v>Collar con dije cabecita y nombre</v>
      </c>
      <c r="F23" s="23">
        <v>45965.0</v>
      </c>
      <c r="G23" s="5"/>
      <c r="H23" s="5">
        <v>45973.0</v>
      </c>
      <c r="I23" s="21">
        <f>IFERROR(__xludf.DUMMYFUNCTION("""COMPUTED_VALUE"""),1.0)</f>
        <v>1</v>
      </c>
      <c r="J23" s="20"/>
      <c r="K23" s="21" t="str">
        <f>IFERROR(__xludf.DUMMYFUNCTION("""COMPUTED_VALUE"""),"Max")</f>
        <v>Max</v>
      </c>
      <c r="L23" s="21" t="str">
        <f>IFERROR(__xludf.DUMMYFUNCTION("""COMPUTED_VALUE"""),"No")</f>
        <v>No</v>
      </c>
      <c r="M23" s="20"/>
      <c r="N23" s="20"/>
      <c r="O23" s="24">
        <v>175.0</v>
      </c>
      <c r="P23" s="20">
        <v>12.0</v>
      </c>
      <c r="Q23" s="20">
        <v>187.0</v>
      </c>
      <c r="R23" s="20">
        <v>93.5</v>
      </c>
      <c r="S23" s="20">
        <v>93.5</v>
      </c>
      <c r="T23" s="20"/>
      <c r="U23" s="20"/>
      <c r="V23" s="20"/>
      <c r="W23" s="21">
        <f>IFERROR(__xludf.DUMMYFUNCTION("""COMPUTED_VALUE"""),9.737278E8)</f>
        <v>973727800</v>
      </c>
      <c r="X23" s="21" t="str">
        <f>IFERROR(__xludf.DUMMYFUNCTION("""COMPUTED_VALUE"""),"No")</f>
        <v>No</v>
      </c>
      <c r="Y23" s="21" t="str">
        <f>IFERROR(__xludf.DUMMYFUNCTION("""COMPUTED_VALUE"""),"Enrique Marcial Niño Leyva, 48582500,947434306,")</f>
        <v>Enrique Marcial Niño Leyva, 48582500,947434306,</v>
      </c>
      <c r="Z23" s="21" t="str">
        <f>IFERROR(__xludf.DUMMYFUNCTION("""COMPUTED_VALUE"""),"Para mi")</f>
        <v>Para mi</v>
      </c>
      <c r="AA23" s="20"/>
      <c r="AB23" s="22" t="str">
        <f>IFERROR(__xludf.DUMMYFUNCTION("""COMPUTED_VALUE"""),"Sandra")</f>
        <v>Sandra</v>
      </c>
      <c r="AC23" s="20" t="s">
        <v>81</v>
      </c>
      <c r="AD23" s="21" t="str">
        <f>IFERROR(__xludf.DUMMYFUNCTION("""COMPUTED_VALUE"""),"Que lo realicen con mucha dedicación, porque lo mando hacer con mucho amor")</f>
        <v>Que lo realicen con mucha dedicación, porque lo mando hacer con mucho amor</v>
      </c>
      <c r="AE23" s="21" t="str">
        <f>IFERROR(__xludf.DUMMYFUNCTION("""COMPUTED_VALUE"""),"La mascotita está contigo  🐾🎉")</f>
        <v>La mascotita está contigo  🐾🎉</v>
      </c>
      <c r="AF23" s="20"/>
      <c r="AG23" s="20"/>
    </row>
    <row r="24" ht="15.75" customHeight="1">
      <c r="A24" s="20" t="s">
        <v>82</v>
      </c>
      <c r="B24" s="11" t="s">
        <v>33</v>
      </c>
      <c r="C24" s="21" t="str">
        <f>IFERROR(__xludf.DUMMYFUNCTION("""COMPUTED_VALUE"""),"Jimena Stigler")</f>
        <v>Jimena Stigler</v>
      </c>
      <c r="D24" s="20"/>
      <c r="E24" s="21" t="str">
        <f>IFERROR(__xludf.DUMMYFUNCTION("""COMPUTED_VALUE"""),"CL01 Collar dije circular 1.5cm s/149")</f>
        <v>CL01 Collar dije circular 1.5cm s/149</v>
      </c>
      <c r="F24" s="23">
        <v>45965.0</v>
      </c>
      <c r="G24" s="5"/>
      <c r="H24" s="5">
        <v>45968.0</v>
      </c>
      <c r="I24" s="21">
        <f>IFERROR(__xludf.DUMMYFUNCTION("""COMPUTED_VALUE"""),1.0)</f>
        <v>1</v>
      </c>
      <c r="J24" s="20"/>
      <c r="K24" s="21" t="str">
        <f>IFERROR(__xludf.DUMMYFUNCTION("""COMPUTED_VALUE"""),"si")</f>
        <v>si</v>
      </c>
      <c r="L24" s="21" t="str">
        <f>IFERROR(__xludf.DUMMYFUNCTION("""COMPUTED_VALUE"""),"no")</f>
        <v>no</v>
      </c>
      <c r="M24" s="20" t="s">
        <v>36</v>
      </c>
      <c r="N24" s="20"/>
      <c r="O24" s="24">
        <v>149.0</v>
      </c>
      <c r="P24" s="20">
        <v>0.0</v>
      </c>
      <c r="Q24" s="20">
        <v>149.0</v>
      </c>
      <c r="R24" s="20">
        <v>74.5</v>
      </c>
      <c r="S24" s="20">
        <v>74.5</v>
      </c>
      <c r="T24" s="20"/>
      <c r="U24" s="20"/>
      <c r="V24" s="20"/>
      <c r="W24" s="21">
        <f>IFERROR(__xludf.DUMMYFUNCTION("""COMPUTED_VALUE"""),9.9926511E7)</f>
        <v>99926511</v>
      </c>
      <c r="X24" s="21" t="str">
        <f>IFERROR(__xludf.DUMMYFUNCTION("""COMPUTED_VALUE"""),"no")</f>
        <v>no</v>
      </c>
      <c r="Y24" s="21" t="str">
        <f>IFERROR(__xludf.DUMMYFUNCTION("""COMPUTED_VALUE"""),"no")</f>
        <v>no</v>
      </c>
      <c r="Z24" s="21" t="str">
        <f>IFERROR(__xludf.DUMMYFUNCTION("""COMPUTED_VALUE"""),"Mariana Araujo")</f>
        <v>Mariana Araujo</v>
      </c>
      <c r="AA24" s="20"/>
      <c r="AB24" s="22" t="str">
        <f>IFERROR(__xludf.DUMMYFUNCTION("""COMPUTED_VALUE"""),"Sandra")</f>
        <v>Sandra</v>
      </c>
      <c r="AC24" s="20" t="s">
        <v>83</v>
      </c>
      <c r="AD24" s="21" t="str">
        <f>IFERROR(__xludf.DUMMYFUNCTION("""COMPUTED_VALUE"""),"Es un regalo por el cumpleaños de una compañera que quiere mucho a su perrita que aún está viva:)")</f>
        <v>Es un regalo por el cumpleaños de una compañera que quiere mucho a su perrita que aún está viva:)</v>
      </c>
      <c r="AE24" s="21" t="str">
        <f>IFERROR(__xludf.DUMMYFUNCTION("""COMPUTED_VALUE"""),"La mascotita está contigo  🐾🎉")</f>
        <v>La mascotita está contigo  🐾🎉</v>
      </c>
      <c r="AF24" s="20"/>
      <c r="AG24" s="20"/>
    </row>
    <row r="25" ht="15.75" customHeight="1">
      <c r="A25" s="20" t="s">
        <v>84</v>
      </c>
      <c r="B25" s="11" t="s">
        <v>33</v>
      </c>
      <c r="C25" s="21" t="str">
        <f>IFERROR(__xludf.DUMMYFUNCTION("""COMPUTED_VALUE"""),"Vanessa")</f>
        <v>Vanessa</v>
      </c>
      <c r="D25" s="20"/>
      <c r="E25" s="21" t="str">
        <f>IFERROR(__xludf.DUMMYFUNCTION("""COMPUTED_VALUE"""),"Collar con dije alas ")</f>
        <v>Collar con dije alas </v>
      </c>
      <c r="F25" s="23">
        <v>45969.0</v>
      </c>
      <c r="G25" s="5"/>
      <c r="H25" s="5">
        <v>45974.0</v>
      </c>
      <c r="I25" s="21">
        <f>IFERROR(__xludf.DUMMYFUNCTION("""COMPUTED_VALUE"""),1.0)</f>
        <v>1</v>
      </c>
      <c r="J25" s="20"/>
      <c r="K25" s="21" t="str">
        <f>IFERROR(__xludf.DUMMYFUNCTION("""COMPUTED_VALUE"""),"no")</f>
        <v>no</v>
      </c>
      <c r="L25" s="21" t="str">
        <f>IFERROR(__xludf.DUMMYFUNCTION("""COMPUTED_VALUE"""),"no")</f>
        <v>no</v>
      </c>
      <c r="M25" s="20" t="s">
        <v>36</v>
      </c>
      <c r="N25" s="20"/>
      <c r="O25" s="24">
        <v>95.0</v>
      </c>
      <c r="P25" s="20">
        <v>0.0</v>
      </c>
      <c r="Q25" s="20">
        <v>99.0</v>
      </c>
      <c r="R25" s="20">
        <v>47.5</v>
      </c>
      <c r="S25" s="20">
        <v>51.5</v>
      </c>
      <c r="T25" s="20"/>
      <c r="U25" s="20"/>
      <c r="V25" s="20"/>
      <c r="W25" s="21">
        <f>IFERROR(__xludf.DUMMYFUNCTION("""COMPUTED_VALUE"""),9.51014121E8)</f>
        <v>951014121</v>
      </c>
      <c r="X25" s="21" t="str">
        <f>IFERROR(__xludf.DUMMYFUNCTION("""COMPUTED_VALUE"""),"no")</f>
        <v>no</v>
      </c>
      <c r="Y25" s="21" t="str">
        <f>IFERROR(__xludf.DUMMYFUNCTION("""COMPUTED_VALUE"""),"no")</f>
        <v>no</v>
      </c>
      <c r="Z25" s="21" t="str">
        <f>IFERROR(__xludf.DUMMYFUNCTION("""COMPUTED_VALUE"""),"sobrina confirmación")</f>
        <v>sobrina confirmación</v>
      </c>
      <c r="AA25" s="20"/>
      <c r="AB25" s="22" t="str">
        <f>IFERROR(__xludf.DUMMYFUNCTION("""COMPUTED_VALUE"""),"Sandra")</f>
        <v>Sandra</v>
      </c>
      <c r="AC25" s="20" t="s">
        <v>85</v>
      </c>
      <c r="AD25" s="21" t="str">
        <f>IFERROR(__xludf.DUMMYFUNCTION("""COMPUTED_VALUE"""),"Entregar el 13 de nov")</f>
        <v>Entregar el 13 de nov</v>
      </c>
      <c r="AE25" s="21" t="str">
        <f>IFERROR(__xludf.DUMMYFUNCTION("""COMPUTED_VALUE"""),"No es de mascotita")</f>
        <v>No es de mascotita</v>
      </c>
      <c r="AF25" s="20"/>
      <c r="AG25" s="20"/>
    </row>
    <row r="26" ht="15.75" customHeight="1">
      <c r="A26" s="20" t="s">
        <v>86</v>
      </c>
      <c r="B26" s="11" t="s">
        <v>33</v>
      </c>
      <c r="C26" s="21" t="str">
        <f>IFERROR(__xludf.DUMMYFUNCTION("""COMPUTED_VALUE"""),"Erika gamarra s")</f>
        <v>Erika gamarra s</v>
      </c>
      <c r="D26" s="20"/>
      <c r="E26" s="21" t="str">
        <f>IFERROR(__xludf.DUMMYFUNCTION("""COMPUTED_VALUE"""),"P03 Pulsera dije circular 2cm con orejas s/149")</f>
        <v>P03 Pulsera dije circular 2cm con orejas s/149</v>
      </c>
      <c r="F26" s="23">
        <v>45972.0</v>
      </c>
      <c r="G26" s="5"/>
      <c r="H26" s="5">
        <v>45974.0</v>
      </c>
      <c r="I26" s="21" t="str">
        <f>IFERROR(__xludf.DUMMYFUNCTION("""COMPUTED_VALUE"""),"Huacho")</f>
        <v>Huacho</v>
      </c>
      <c r="J26" s="20"/>
      <c r="K26" s="21" t="str">
        <f>IFERROR(__xludf.DUMMYFUNCTION("""COMPUTED_VALUE"""),"Si")</f>
        <v>Si</v>
      </c>
      <c r="L26" s="21" t="str">
        <f>IFERROR(__xludf.DUMMYFUNCTION("""COMPUTED_VALUE"""),"Si")</f>
        <v>Si</v>
      </c>
      <c r="M26" s="20"/>
      <c r="N26" s="20"/>
      <c r="O26" s="24">
        <v>199.0</v>
      </c>
      <c r="P26" s="20">
        <v>12.0</v>
      </c>
      <c r="Q26" s="20">
        <v>211.0</v>
      </c>
      <c r="R26" s="20">
        <v>100.0</v>
      </c>
      <c r="S26" s="20">
        <v>111.0</v>
      </c>
      <c r="T26" s="20"/>
      <c r="U26" s="20"/>
      <c r="V26" s="20"/>
      <c r="W26" s="21">
        <f>IFERROR(__xludf.DUMMYFUNCTION("""COMPUTED_VALUE"""),9.94351278E8)</f>
        <v>994351278</v>
      </c>
      <c r="X26" s="21" t="str">
        <f>IFERROR(__xludf.DUMMYFUNCTION("""COMPUTED_VALUE"""),"Erika Gamarra Serna")</f>
        <v>Erika Gamarra Serna</v>
      </c>
      <c r="Y26" s="21" t="str">
        <f>IFERROR(__xludf.DUMMYFUNCTION("""COMPUTED_VALUE"""),"Erika Gamarra Serna, Dni:72560263, Huacho/Huaura/Lima, agencia shalom d mercedes indacochea")</f>
        <v>Erika Gamarra Serna, Dni:72560263, Huacho/Huaura/Lima, agencia shalom d mercedes indacochea</v>
      </c>
      <c r="Z26" s="21" t="str">
        <f>IFERROR(__xludf.DUMMYFUNCTION("""COMPUTED_VALUE"""),"Mejor amiga")</f>
        <v>Mejor amiga</v>
      </c>
      <c r="AA26" s="20"/>
      <c r="AB26" s="22" t="str">
        <f>IFERROR(__xludf.DUMMYFUNCTION("""COMPUTED_VALUE"""),"Daniela")</f>
        <v>Daniela</v>
      </c>
      <c r="AC26" s="20" t="s">
        <v>87</v>
      </c>
      <c r="AD26" s="21" t="str">
        <f>IFERROR(__xludf.DUMMYFUNCTION("""COMPUTED_VALUE"""),"Color negro")</f>
        <v>Color negro</v>
      </c>
      <c r="AE26" s="21" t="str">
        <f>IFERROR(__xludf.DUMMYFUNCTION("""COMPUTED_VALUE"""),"La mascotita está contigo  🐾🎉")</f>
        <v>La mascotita está contigo  🐾🎉</v>
      </c>
      <c r="AF26" s="20"/>
      <c r="AG26" s="20"/>
    </row>
    <row r="27" ht="15.75" customHeight="1">
      <c r="A27" s="20" t="s">
        <v>88</v>
      </c>
      <c r="B27" s="11" t="s">
        <v>33</v>
      </c>
      <c r="C27" s="21" t="str">
        <f>IFERROR(__xludf.DUMMYFUNCTION("""COMPUTED_VALUE"""),"Vanessa Torres Illatarqui ")</f>
        <v>Vanessa Torres Illatarqui </v>
      </c>
      <c r="D27" s="20"/>
      <c r="E27" s="21" t="str">
        <f>IFERROR(__xludf.DUMMYFUNCTION("""COMPUTED_VALUE"""),"Pulsera Huellita")</f>
        <v>Pulsera Huellita</v>
      </c>
      <c r="F27" s="23">
        <v>45972.0</v>
      </c>
      <c r="G27" s="5"/>
      <c r="H27" s="5">
        <v>45975.0</v>
      </c>
      <c r="I27" s="21">
        <f>IFERROR(__xludf.DUMMYFUNCTION("""COMPUTED_VALUE"""),1.0)</f>
        <v>1</v>
      </c>
      <c r="J27" s="20"/>
      <c r="K27" s="21" t="str">
        <f>IFERROR(__xludf.DUMMYFUNCTION("""COMPUTED_VALUE"""),"Otto")</f>
        <v>Otto</v>
      </c>
      <c r="L27" s="21" t="str">
        <f>IFERROR(__xludf.DUMMYFUNCTION("""COMPUTED_VALUE"""),"-")</f>
        <v>-</v>
      </c>
      <c r="M27" s="20"/>
      <c r="N27" s="20"/>
      <c r="O27" s="24">
        <v>69.0</v>
      </c>
      <c r="P27" s="20">
        <v>0.0</v>
      </c>
      <c r="Q27" s="20">
        <v>69.0</v>
      </c>
      <c r="R27" s="20">
        <v>35.0</v>
      </c>
      <c r="S27" s="20">
        <v>34.0</v>
      </c>
      <c r="T27" s="20"/>
      <c r="U27" s="20"/>
      <c r="V27" s="20"/>
      <c r="W27" s="21">
        <f>IFERROR(__xludf.DUMMYFUNCTION("""COMPUTED_VALUE"""),9.97511595E8)</f>
        <v>997511595</v>
      </c>
      <c r="X27" s="21" t="str">
        <f>IFERROR(__xludf.DUMMYFUNCTION("""COMPUTED_VALUE"""),"-")</f>
        <v>-</v>
      </c>
      <c r="Y27" s="21" t="str">
        <f>IFERROR(__xludf.DUMMYFUNCTION("""COMPUTED_VALUE"""),"-")</f>
        <v>-</v>
      </c>
      <c r="Z27" s="21" t="str">
        <f>IFERROR(__xludf.DUMMYFUNCTION("""COMPUTED_VALUE"""),"Para mi")</f>
        <v>Para mi</v>
      </c>
      <c r="AA27" s="20"/>
      <c r="AB27" s="22" t="str">
        <f>IFERROR(__xludf.DUMMYFUNCTION("""COMPUTED_VALUE"""),"Sandra")</f>
        <v>Sandra</v>
      </c>
      <c r="AC27" s="20" t="s">
        <v>89</v>
      </c>
      <c r="AD27" s="21" t="str">
        <f>IFERROR(__xludf.DUMMYFUNCTION("""COMPUTED_VALUE"""),"Debe decir: Otto")</f>
        <v>Debe decir: Otto</v>
      </c>
      <c r="AE27" s="21" t="str">
        <f>IFERROR(__xludf.DUMMYFUNCTION("""COMPUTED_VALUE"""),"La mascotita ya está en el arcoiris 🌈🙏")</f>
        <v>La mascotita ya está en el arcoiris 🌈🙏</v>
      </c>
      <c r="AF27" s="20"/>
      <c r="AG27" s="20"/>
    </row>
    <row r="28" ht="15.75" customHeight="1">
      <c r="A28" s="20" t="s">
        <v>90</v>
      </c>
      <c r="B28" s="11" t="s">
        <v>33</v>
      </c>
      <c r="C28" s="21" t="str">
        <f>IFERROR(__xludf.DUMMYFUNCTION("""COMPUTED_VALUE"""),"Elizabeth Ramos Hinojo")</f>
        <v>Elizabeth Ramos Hinojo</v>
      </c>
      <c r="D28" s="20"/>
      <c r="E28" s="21" t="str">
        <f>IFERROR(__xludf.DUMMYFUNCTION("""COMPUTED_VALUE"""),"CL01 Collar dije circular 1.5cm s/149")</f>
        <v>CL01 Collar dije circular 1.5cm s/149</v>
      </c>
      <c r="F28" s="23">
        <v>45972.0</v>
      </c>
      <c r="G28" s="5"/>
      <c r="H28" s="5">
        <v>45975.0</v>
      </c>
      <c r="I28" s="21">
        <f>IFERROR(__xludf.DUMMYFUNCTION("""COMPUTED_VALUE"""),1.0)</f>
        <v>1</v>
      </c>
      <c r="J28" s="20"/>
      <c r="K28" s="21" t="str">
        <f>IFERROR(__xludf.DUMMYFUNCTION("""COMPUTED_VALUE"""),"Si : Cheetos")</f>
        <v>Si : Cheetos</v>
      </c>
      <c r="L28" s="21" t="str">
        <f>IFERROR(__xludf.DUMMYFUNCTION("""COMPUTED_VALUE"""),"Cheetos")</f>
        <v>Cheetos</v>
      </c>
      <c r="M28" s="20"/>
      <c r="N28" s="20"/>
      <c r="O28" s="24">
        <v>126.0</v>
      </c>
      <c r="P28" s="20">
        <v>0.0</v>
      </c>
      <c r="Q28" s="20">
        <v>126.0</v>
      </c>
      <c r="R28" s="20">
        <v>63.0</v>
      </c>
      <c r="S28" s="20">
        <v>63.0</v>
      </c>
      <c r="T28" s="20"/>
      <c r="U28" s="20"/>
      <c r="V28" s="20"/>
      <c r="W28" s="21">
        <f>IFERROR(__xludf.DUMMYFUNCTION("""COMPUTED_VALUE"""),9.36818139E8)</f>
        <v>936818139</v>
      </c>
      <c r="X28" s="21" t="str">
        <f>IFERROR(__xludf.DUMMYFUNCTION("""COMPUTED_VALUE"""),"No")</f>
        <v>No</v>
      </c>
      <c r="Y28" s="21" t="str">
        <f>IFERROR(__xludf.DUMMYFUNCTION("""COMPUTED_VALUE"""),"No")</f>
        <v>No</v>
      </c>
      <c r="Z28" s="21" t="str">
        <f>IFERROR(__xludf.DUMMYFUNCTION("""COMPUTED_VALUE"""),"Para mi")</f>
        <v>Para mi</v>
      </c>
      <c r="AA28" s="20"/>
      <c r="AB28" s="22" t="str">
        <f>IFERROR(__xludf.DUMMYFUNCTION("""COMPUTED_VALUE"""),"Sandra")</f>
        <v>Sandra</v>
      </c>
      <c r="AC28" s="20" t="s">
        <v>91</v>
      </c>
      <c r="AD28" s="21" t="str">
        <f>IFERROR(__xludf.DUMMYFUNCTION("""COMPUTED_VALUE"""),"Espero con ansias mi pedido")</f>
        <v>Espero con ansias mi pedido</v>
      </c>
      <c r="AE28" s="21" t="str">
        <f>IFERROR(__xludf.DUMMYFUNCTION("""COMPUTED_VALUE"""),"La mascotita está contigo  🐾🎉")</f>
        <v>La mascotita está contigo  🐾🎉</v>
      </c>
      <c r="AF28" s="20"/>
      <c r="AG28" s="20"/>
    </row>
    <row r="29" ht="15.75" customHeight="1">
      <c r="A29" s="20" t="s">
        <v>92</v>
      </c>
      <c r="B29" s="11" t="s">
        <v>33</v>
      </c>
      <c r="C29" s="21" t="str">
        <f>IFERROR(__xludf.DUMMYFUNCTION("""COMPUTED_VALUE"""),"Lucia Gonzales ")</f>
        <v>Lucia Gonzales </v>
      </c>
      <c r="D29" s="20"/>
      <c r="E29" s="21" t="str">
        <f>IFERROR(__xludf.DUMMYFUNCTION("""COMPUTED_VALUE"""),"Pulsera con dijes")</f>
        <v>Pulsera con dijes</v>
      </c>
      <c r="F29" s="23">
        <v>45975.0</v>
      </c>
      <c r="G29" s="5"/>
      <c r="H29" s="5">
        <v>45979.0</v>
      </c>
      <c r="I29" s="21">
        <f>IFERROR(__xludf.DUMMYFUNCTION("""COMPUTED_VALUE"""),1.0)</f>
        <v>1</v>
      </c>
      <c r="J29" s="20"/>
      <c r="K29" s="21" t="str">
        <f>IFERROR(__xludf.DUMMYFUNCTION("""COMPUTED_VALUE"""),"No")</f>
        <v>No</v>
      </c>
      <c r="L29" s="21" t="str">
        <f>IFERROR(__xludf.DUMMYFUNCTION("""COMPUTED_VALUE"""),"Si")</f>
        <v>Si</v>
      </c>
      <c r="M29" s="20"/>
      <c r="N29" s="20"/>
      <c r="O29" s="24">
        <v>135.0</v>
      </c>
      <c r="P29" s="20">
        <v>12.0</v>
      </c>
      <c r="Q29" s="20">
        <v>147.0</v>
      </c>
      <c r="R29" s="20">
        <v>0.0</v>
      </c>
      <c r="S29" s="20">
        <v>147.0</v>
      </c>
      <c r="T29" s="20"/>
      <c r="U29" s="20"/>
      <c r="V29" s="20"/>
      <c r="W29" s="21">
        <f>IFERROR(__xludf.DUMMYFUNCTION("""COMPUTED_VALUE"""),9.87753533E8)</f>
        <v>987753533</v>
      </c>
      <c r="X29" s="21" t="str">
        <f>IFERROR(__xludf.DUMMYFUNCTION("""COMPUTED_VALUE"""),"Via principal 155 torre B San Isidro ")</f>
        <v>Via principal 155 torre B San Isidro </v>
      </c>
      <c r="Y29" s="21" t="str">
        <f>IFERROR(__xludf.DUMMYFUNCTION("""COMPUTED_VALUE"""),"No")</f>
        <v>No</v>
      </c>
      <c r="Z29" s="21" t="str">
        <f>IFERROR(__xludf.DUMMYFUNCTION("""COMPUTED_VALUE"""),"Regalo")</f>
        <v>Regalo</v>
      </c>
      <c r="AA29" s="20"/>
      <c r="AB29" s="22" t="str">
        <f>IFERROR(__xludf.DUMMYFUNCTION("""COMPUTED_VALUE"""),"Daniela")</f>
        <v>Daniela</v>
      </c>
      <c r="AC29" s="20" t="s">
        <v>93</v>
      </c>
      <c r="AD29" s="21" t="str">
        <f>IFERROR(__xludf.DUMMYFUNCTION("""COMPUTED_VALUE"""),"Es para regalo")</f>
        <v>Es para regalo</v>
      </c>
      <c r="AE29" s="21" t="str">
        <f>IFERROR(__xludf.DUMMYFUNCTION("""COMPUTED_VALUE"""),"La mascotita ya está en el arcoiris 🌈🙏")</f>
        <v>La mascotita ya está en el arcoiris 🌈🙏</v>
      </c>
      <c r="AF29" s="20"/>
      <c r="AG29" s="20"/>
    </row>
    <row r="30" ht="15.75" customHeight="1">
      <c r="A30" s="20" t="s">
        <v>94</v>
      </c>
      <c r="B30" s="11" t="s">
        <v>33</v>
      </c>
      <c r="C30" s="21" t="str">
        <f>IFERROR(__xludf.DUMMYFUNCTION("""COMPUTED_VALUE"""),"Deliana")</f>
        <v>Deliana</v>
      </c>
      <c r="D30" s="20"/>
      <c r="E30" s="21" t="str">
        <f>IFERROR(__xludf.DUMMYFUNCTION("""COMPUTED_VALUE"""),"P03 Pulsera dije circular 2cm con orejas s/149")</f>
        <v>P03 Pulsera dije circular 2cm con orejas s/149</v>
      </c>
      <c r="F30" s="23">
        <v>45975.0</v>
      </c>
      <c r="G30" s="5"/>
      <c r="H30" s="5">
        <v>45982.0</v>
      </c>
      <c r="I30" s="21">
        <f>IFERROR(__xludf.DUMMYFUNCTION("""COMPUTED_VALUE"""),1.0)</f>
        <v>1</v>
      </c>
      <c r="J30" s="20"/>
      <c r="K30" s="21" t="str">
        <f>IFERROR(__xludf.DUMMYFUNCTION("""COMPUTED_VALUE"""),"Si")</f>
        <v>Si</v>
      </c>
      <c r="L30" s="21" t="str">
        <f>IFERROR(__xludf.DUMMYFUNCTION("""COMPUTED_VALUE"""),"No")</f>
        <v>No</v>
      </c>
      <c r="M30" s="20"/>
      <c r="N30" s="20"/>
      <c r="O30" s="24">
        <v>149.0</v>
      </c>
      <c r="P30" s="20">
        <v>12.0</v>
      </c>
      <c r="Q30" s="20">
        <v>161.0</v>
      </c>
      <c r="R30" s="20">
        <v>80.0</v>
      </c>
      <c r="S30" s="20">
        <v>81.0</v>
      </c>
      <c r="T30" s="20"/>
      <c r="U30" s="20"/>
      <c r="V30" s="20"/>
      <c r="W30" s="21">
        <f>IFERROR(__xludf.DUMMYFUNCTION("""COMPUTED_VALUE"""),9.5181691E8)</f>
        <v>951816910</v>
      </c>
      <c r="X30" s="21" t="str">
        <f>IFERROR(__xludf.DUMMYFUNCTION("""COMPUTED_VALUE"""),"No")</f>
        <v>No</v>
      </c>
      <c r="Y30" s="21" t="str">
        <f>IFERROR(__xludf.DUMMYFUNCTION("""COMPUTED_VALUE"""),"Deliana Rodriguez asqui,  40819766")</f>
        <v>Deliana Rodriguez asqui,  40819766</v>
      </c>
      <c r="Z30" s="21" t="str">
        <f>IFERROR(__xludf.DUMMYFUNCTION("""COMPUTED_VALUE"""),"Para mi")</f>
        <v>Para mi</v>
      </c>
      <c r="AA30" s="20"/>
      <c r="AB30" s="22" t="str">
        <f>IFERROR(__xludf.DUMMYFUNCTION("""COMPUTED_VALUE"""),"Daniela")</f>
        <v>Daniela</v>
      </c>
      <c r="AC30" s="20" t="s">
        <v>95</v>
      </c>
      <c r="AD30" s="21" t="str">
        <f>IFERROR(__xludf.DUMMYFUNCTION("""COMPUTED_VALUE"""),"Ninguna")</f>
        <v>Ninguna</v>
      </c>
      <c r="AE30" s="21" t="str">
        <f>IFERROR(__xludf.DUMMYFUNCTION("""COMPUTED_VALUE"""),"No es de mascotita")</f>
        <v>No es de mascotita</v>
      </c>
      <c r="AF30" s="20"/>
      <c r="AG30" s="20"/>
    </row>
    <row r="31" ht="15.75" customHeight="1">
      <c r="A31" s="20" t="s">
        <v>96</v>
      </c>
      <c r="B31" s="20" t="s">
        <v>33</v>
      </c>
      <c r="C31" s="21" t="str">
        <f>IFERROR(__xludf.DUMMYFUNCTION("""COMPUTED_VALUE"""),"Lucia gonzales")</f>
        <v>Lucia gonzales</v>
      </c>
      <c r="D31" s="20"/>
      <c r="E31" s="21" t="str">
        <f>IFERROR(__xludf.DUMMYFUNCTION("""COMPUTED_VALUE"""),"Aretes snauzer pero colgantes")</f>
        <v>Aretes snauzer pero colgantes</v>
      </c>
      <c r="F31" s="23">
        <v>45975.0</v>
      </c>
      <c r="G31" s="5"/>
      <c r="H31" s="5">
        <v>45978.0</v>
      </c>
      <c r="I31" s="21">
        <f>IFERROR(__xludf.DUMMYFUNCTION("""COMPUTED_VALUE"""),1.0)</f>
        <v>1</v>
      </c>
      <c r="J31" s="20"/>
      <c r="K31" s="21" t="str">
        <f>IFERROR(__xludf.DUMMYFUNCTION("""COMPUTED_VALUE"""),"No")</f>
        <v>No</v>
      </c>
      <c r="L31" s="21" t="str">
        <f>IFERROR(__xludf.DUMMYFUNCTION("""COMPUTED_VALUE"""),"No")</f>
        <v>No</v>
      </c>
      <c r="M31" s="20"/>
      <c r="N31" s="20"/>
      <c r="O31" s="24">
        <v>65.0</v>
      </c>
      <c r="P31" s="20">
        <v>0.0</v>
      </c>
      <c r="Q31" s="20">
        <v>65.0</v>
      </c>
      <c r="R31" s="20">
        <v>0.0</v>
      </c>
      <c r="S31" s="20">
        <v>65.0</v>
      </c>
      <c r="T31" s="20"/>
      <c r="U31" s="20"/>
      <c r="V31" s="20"/>
      <c r="W31" s="21" t="str">
        <f>IFERROR(__xludf.DUMMYFUNCTION("""COMPUTED_VALUE"""),"Xxx")</f>
        <v>Xxx</v>
      </c>
      <c r="X31" s="21" t="str">
        <f>IFERROR(__xludf.DUMMYFUNCTION("""COMPUTED_VALUE"""),"No")</f>
        <v>No</v>
      </c>
      <c r="Y31" s="21" t="str">
        <f>IFERROR(__xludf.DUMMYFUNCTION("""COMPUTED_VALUE"""),"No")</f>
        <v>No</v>
      </c>
      <c r="Z31" s="21" t="str">
        <f>IFERROR(__xludf.DUMMYFUNCTION("""COMPUTED_VALUE"""),"Reglo")</f>
        <v>Reglo</v>
      </c>
      <c r="AA31" s="20"/>
      <c r="AB31" s="22" t="str">
        <f>IFERROR(__xludf.DUMMYFUNCTION("""COMPUTED_VALUE"""),"Daniela")</f>
        <v>Daniela</v>
      </c>
      <c r="AC31" s="20" t="s">
        <v>97</v>
      </c>
      <c r="AD31" s="21" t="str">
        <f>IFERROR(__xludf.DUMMYFUNCTION("""COMPUTED_VALUE"""),"Aretes colgantes ")</f>
        <v>Aretes colgantes </v>
      </c>
      <c r="AE31" s="21" t="str">
        <f>IFERROR(__xludf.DUMMYFUNCTION("""COMPUTED_VALUE"""),"La mascotita ya está en el arcoiris 🌈🙏")</f>
        <v>La mascotita ya está en el arcoiris 🌈🙏</v>
      </c>
      <c r="AF31" s="20"/>
      <c r="AG31" s="20"/>
    </row>
    <row r="32" ht="15.75" customHeight="1">
      <c r="A32" s="20" t="s">
        <v>98</v>
      </c>
      <c r="B32" s="20" t="s">
        <v>33</v>
      </c>
      <c r="C32" s="21" t="str">
        <f>IFERROR(__xludf.DUMMYFUNCTION("""COMPUTED_VALUE"""),"Haydee cristina Febres Casaverde ")</f>
        <v>Haydee cristina Febres Casaverde </v>
      </c>
      <c r="D32" s="20"/>
      <c r="E32" s="21" t="str">
        <f>IFERROR(__xludf.DUMMYFUNCTION("""COMPUTED_VALUE"""),"Es una pulsera con dije de acero")</f>
        <v>Es una pulsera con dije de acero</v>
      </c>
      <c r="F32" s="23">
        <v>45975.0</v>
      </c>
      <c r="G32" s="5"/>
      <c r="H32" s="5">
        <v>45980.0</v>
      </c>
      <c r="I32" s="21" t="str">
        <f>IFERROR(__xludf.DUMMYFUNCTION("""COMPUTED_VALUE"""),"Una pulsera")</f>
        <v>Una pulsera</v>
      </c>
      <c r="J32" s="20"/>
      <c r="K32" s="21" t="str">
        <f>IFERROR(__xludf.DUMMYFUNCTION("""COMPUTED_VALUE"""),"El nombre de mi mascota es Bebé ")</f>
        <v>El nombre de mi mascota es Bebé </v>
      </c>
      <c r="L32" s="21" t="str">
        <f>IFERROR(__xludf.DUMMYFUNCTION("""COMPUTED_VALUE"""),"No")</f>
        <v>No</v>
      </c>
      <c r="M32" s="20" t="s">
        <v>36</v>
      </c>
      <c r="N32" s="20"/>
      <c r="O32" s="24">
        <v>89.0</v>
      </c>
      <c r="P32" s="20">
        <v>12.0</v>
      </c>
      <c r="Q32" s="20">
        <v>101.0</v>
      </c>
      <c r="R32" s="20">
        <v>0.0</v>
      </c>
      <c r="S32" s="20">
        <v>101.0</v>
      </c>
      <c r="T32" s="20"/>
      <c r="U32" s="20"/>
      <c r="V32" s="20"/>
      <c r="W32" s="21">
        <f>IFERROR(__xludf.DUMMYFUNCTION("""COMPUTED_VALUE"""),9.56165361E8)</f>
        <v>956165361</v>
      </c>
      <c r="X32" s="21" t="str">
        <f>IFERROR(__xludf.DUMMYFUNCTION("""COMPUTED_VALUE"""),"No en moto no")</f>
        <v>No en moto no</v>
      </c>
      <c r="Y32" s="21" t="str">
        <f>IFERROR(__xludf.DUMMYFUNCTION("""COMPUTED_VALUE"""),"Av Tipac Amaru 441-443   Carabayllo referencia paradero Establo Haydee cristina Febres Casaverde  956165361.10408172")</f>
        <v>Av Tipac Amaru 441-443   Carabayllo referencia paradero Establo Haydee cristina Febres Casaverde  956165361.10408172</v>
      </c>
      <c r="Z32" s="21" t="str">
        <f>IFERROR(__xludf.DUMMYFUNCTION("""COMPUTED_VALUE"""),"Para mi")</f>
        <v>Para mi</v>
      </c>
      <c r="AA32" s="20"/>
      <c r="AB32" s="22" t="str">
        <f>IFERROR(__xludf.DUMMYFUNCTION("""COMPUTED_VALUE"""),"Daniela")</f>
        <v>Daniela</v>
      </c>
      <c r="AC32" s="20"/>
      <c r="AD32" s="21" t="str">
        <f>IFERROR(__xludf.DUMMYFUNCTION("""COMPUTED_VALUE"""),"Ninguna")</f>
        <v>Ninguna</v>
      </c>
      <c r="AE32" s="21" t="str">
        <f>IFERROR(__xludf.DUMMYFUNCTION("""COMPUTED_VALUE"""),"La mascotita está contigo  🐾🎉")</f>
        <v>La mascotita está contigo  🐾🎉</v>
      </c>
      <c r="AF32" s="20"/>
      <c r="AG32" s="20"/>
    </row>
    <row r="33" ht="15.75" customHeight="1">
      <c r="A33" s="20" t="s">
        <v>99</v>
      </c>
      <c r="B33" s="20" t="s">
        <v>33</v>
      </c>
      <c r="C33" s="21" t="str">
        <f>IFERROR(__xludf.DUMMYFUNCTION("""COMPUTED_VALUE"""),"Elizabeth Ramos ńHinojo")</f>
        <v>Elizabeth Ramos ńHinojo</v>
      </c>
      <c r="D33" s="20"/>
      <c r="E33" s="21" t="str">
        <f>IFERROR(__xludf.DUMMYFUNCTION("""COMPUTED_VALUE"""),"CL03 Collar con dije silueta 2.6cm s/185")</f>
        <v>CL03 Collar con dije silueta 2.6cm s/185</v>
      </c>
      <c r="F33" s="23">
        <v>45977.0</v>
      </c>
      <c r="G33" s="5"/>
      <c r="H33" s="5">
        <v>45981.0</v>
      </c>
      <c r="I33" s="21">
        <f>IFERROR(__xludf.DUMMYFUNCTION("""COMPUTED_VALUE"""),1.0)</f>
        <v>1</v>
      </c>
      <c r="J33" s="20"/>
      <c r="K33" s="21" t="str">
        <f>IFERROR(__xludf.DUMMYFUNCTION("""COMPUTED_VALUE"""),"X")</f>
        <v>X</v>
      </c>
      <c r="L33" s="21" t="str">
        <f>IFERROR(__xludf.DUMMYFUNCTION("""COMPUTED_VALUE"""),"X")</f>
        <v>X</v>
      </c>
      <c r="M33" s="20" t="s">
        <v>36</v>
      </c>
      <c r="N33" s="20"/>
      <c r="O33" s="24">
        <v>126.0</v>
      </c>
      <c r="P33" s="20">
        <v>12.0</v>
      </c>
      <c r="Q33" s="20">
        <v>138.0</v>
      </c>
      <c r="R33" s="20">
        <v>30.0</v>
      </c>
      <c r="S33" s="20">
        <v>108.0</v>
      </c>
      <c r="T33" s="20"/>
      <c r="U33" s="20"/>
      <c r="V33" s="20"/>
      <c r="W33" s="21" t="str">
        <f>IFERROR(__xludf.DUMMYFUNCTION("""COMPUTED_VALUE"""),"Xx")</f>
        <v>Xx</v>
      </c>
      <c r="X33" s="21" t="str">
        <f>IFERROR(__xludf.DUMMYFUNCTION("""COMPUTED_VALUE"""),"A Adoptaton")</f>
        <v>A Adoptaton</v>
      </c>
      <c r="Y33" s="21" t="str">
        <f>IFERROR(__xludf.DUMMYFUNCTION("""COMPUTED_VALUE"""),"X")</f>
        <v>X</v>
      </c>
      <c r="Z33" s="21" t="str">
        <f>IFERROR(__xludf.DUMMYFUNCTION("""COMPUTED_VALUE"""),"Novio")</f>
        <v>Novio</v>
      </c>
      <c r="AA33" s="20"/>
      <c r="AB33" s="22" t="str">
        <f>IFERROR(__xludf.DUMMYFUNCTION("""COMPUTED_VALUE"""),"Sandra")</f>
        <v>Sandra</v>
      </c>
      <c r="AC33" s="20" t="s">
        <v>100</v>
      </c>
      <c r="AD33" s="21" t="str">
        <f>IFERROR(__xludf.DUMMYFUNCTION("""COMPUTED_VALUE"""),"Lo mismo que el se832 pero con otro molde otra joya")</f>
        <v>Lo mismo que el se832 pero con otro molde otra joya</v>
      </c>
      <c r="AE33" s="21" t="str">
        <f>IFERROR(__xludf.DUMMYFUNCTION("""COMPUTED_VALUE"""),"La mascotita ya está en el arcoiris 🌈🙏")</f>
        <v>La mascotita ya está en el arcoiris 🌈🙏</v>
      </c>
      <c r="AF33" s="20"/>
      <c r="AG33" s="20"/>
    </row>
    <row r="34" ht="15.75" customHeight="1">
      <c r="A34" s="20" t="s">
        <v>101</v>
      </c>
      <c r="B34" s="20" t="s">
        <v>33</v>
      </c>
      <c r="C34" s="21" t="str">
        <f>IFERROR(__xludf.DUMMYFUNCTION("""COMPUTED_VALUE"""),"Victor ")</f>
        <v>Victor </v>
      </c>
      <c r="D34" s="20"/>
      <c r="E34" s="21" t="str">
        <f>IFERROR(__xludf.DUMMYFUNCTION("""COMPUTED_VALUE"""),"pulsera tejida color rojo con dije circular y fecha atras")</f>
        <v>pulsera tejida color rojo con dije circular y fecha atras</v>
      </c>
      <c r="F34" s="23">
        <v>45977.0</v>
      </c>
      <c r="G34" s="5"/>
      <c r="H34" s="5">
        <v>45979.0</v>
      </c>
      <c r="I34" s="21">
        <f>IFERROR(__xludf.DUMMYFUNCTION("""COMPUTED_VALUE"""),1.0)</f>
        <v>1</v>
      </c>
      <c r="J34" s="20"/>
      <c r="K34" s="21" t="str">
        <f>IFERROR(__xludf.DUMMYFUNCTION("""COMPUTED_VALUE"""),"adelante Toby y un simbolo de corazón y atrás 20-11-24")</f>
        <v>adelante Toby y un simbolo de corazón y atrás 20-11-24</v>
      </c>
      <c r="L34" s="21" t="str">
        <f>IFERROR(__xludf.DUMMYFUNCTION("""COMPUTED_VALUE"""),"no")</f>
        <v>no</v>
      </c>
      <c r="M34" s="20"/>
      <c r="N34" s="20"/>
      <c r="O34" s="24">
        <v>69.0</v>
      </c>
      <c r="P34" s="20">
        <v>0.0</v>
      </c>
      <c r="Q34" s="20">
        <v>69.0</v>
      </c>
      <c r="R34" s="20">
        <v>0.0</v>
      </c>
      <c r="S34" s="20">
        <v>69.0</v>
      </c>
      <c r="T34" s="20"/>
      <c r="U34" s="20"/>
      <c r="V34" s="20"/>
      <c r="W34" s="21" t="str">
        <f>IFERROR(__xludf.DUMMYFUNCTION("""COMPUTED_VALUE"""),"x")</f>
        <v>x</v>
      </c>
      <c r="X34" s="21" t="str">
        <f>IFERROR(__xludf.DUMMYFUNCTION("""COMPUTED_VALUE"""),"x")</f>
        <v>x</v>
      </c>
      <c r="Y34" s="21" t="str">
        <f>IFERROR(__xludf.DUMMYFUNCTION("""COMPUTED_VALUE"""),"mm")</f>
        <v>mm</v>
      </c>
      <c r="Z34" s="21" t="str">
        <f>IFERROR(__xludf.DUMMYFUNCTION("""COMPUTED_VALUE"""),"Para mi")</f>
        <v>Para mi</v>
      </c>
      <c r="AA34" s="20"/>
      <c r="AB34" s="22" t="str">
        <f>IFERROR(__xludf.DUMMYFUNCTION("""COMPUTED_VALUE"""),"Sandra")</f>
        <v>Sandra</v>
      </c>
      <c r="AC34" s="20"/>
      <c r="AD34" s="21" t="str">
        <f>IFERROR(__xludf.DUMMYFUNCTION("""COMPUTED_VALUE"""),"xx")</f>
        <v>xx</v>
      </c>
      <c r="AE34" s="21" t="str">
        <f>IFERROR(__xludf.DUMMYFUNCTION("""COMPUTED_VALUE"""),"No es de mascotita")</f>
        <v>No es de mascotita</v>
      </c>
      <c r="AF34" s="20"/>
      <c r="AG34" s="20"/>
    </row>
    <row r="35" ht="15.75" customHeight="1">
      <c r="A35" s="20" t="s">
        <v>102</v>
      </c>
      <c r="B35" s="20" t="s">
        <v>33</v>
      </c>
      <c r="C35" s="21" t="str">
        <f>IFERROR(__xludf.DUMMYFUNCTION("""COMPUTED_VALUE"""),"Cristina Huayamave")</f>
        <v>Cristina Huayamave</v>
      </c>
      <c r="D35" s="20"/>
      <c r="E35" s="21" t="str">
        <f>IFERROR(__xludf.DUMMYFUNCTION("""COMPUTED_VALUE"""),"Collar con 2 nombres y con diseño que los una. El nombre es *Celia María* ")</f>
        <v>Collar con 2 nombres y con diseño que los una. El nombre es *Celia María* </v>
      </c>
      <c r="F35" s="23">
        <v>45980.0</v>
      </c>
      <c r="G35" s="5"/>
      <c r="H35" s="5">
        <v>45985.0</v>
      </c>
      <c r="I35" s="21">
        <f>IFERROR(__xludf.DUMMYFUNCTION("""COMPUTED_VALUE"""),1.0)</f>
        <v>1</v>
      </c>
      <c r="J35" s="20"/>
      <c r="K35" s="21" t="str">
        <f>IFERROR(__xludf.DUMMYFUNCTION("""COMPUTED_VALUE"""),"No")</f>
        <v>No</v>
      </c>
      <c r="L35" s="21" t="str">
        <f>IFERROR(__xludf.DUMMYFUNCTION("""COMPUTED_VALUE"""),"No")</f>
        <v>No</v>
      </c>
      <c r="M35" s="20"/>
      <c r="N35" s="20"/>
      <c r="O35" s="24">
        <v>159.0</v>
      </c>
      <c r="P35" s="20">
        <v>12.0</v>
      </c>
      <c r="Q35" s="20">
        <v>171.0</v>
      </c>
      <c r="R35" s="20">
        <v>100.0</v>
      </c>
      <c r="S35" s="20">
        <v>71.0</v>
      </c>
      <c r="T35" s="20"/>
      <c r="U35" s="20"/>
      <c r="V35" s="20"/>
      <c r="W35" s="21">
        <f>IFERROR(__xludf.DUMMYFUNCTION("""COMPUTED_VALUE"""),9.69946919E8)</f>
        <v>969946919</v>
      </c>
      <c r="X35" s="21" t="str">
        <f>IFERROR(__xludf.DUMMYFUNCTION("""COMPUTED_VALUE"""),"Por definir")</f>
        <v>Por definir</v>
      </c>
      <c r="Y35" s="21" t="str">
        <f>IFERROR(__xludf.DUMMYFUNCTION("""COMPUTED_VALUE"""),"Por definir")</f>
        <v>Por definir</v>
      </c>
      <c r="Z35" s="21" t="str">
        <f>IFERROR(__xludf.DUMMYFUNCTION("""COMPUTED_VALUE"""),"Clienta ")</f>
        <v>Clienta </v>
      </c>
      <c r="AA35" s="20"/>
      <c r="AB35" s="22" t="str">
        <f>IFERROR(__xludf.DUMMYFUNCTION("""COMPUTED_VALUE"""),"Sandra")</f>
        <v>Sandra</v>
      </c>
      <c r="AC35" s="20"/>
      <c r="AD35" s="21" t="str">
        <f>IFERROR(__xludf.DUMMYFUNCTION("""COMPUTED_VALUE"""),"El collar es para una adolescente de 15 años y la clienta quiere ver que diseño se le propone para que se unan los 2 nombres. ")</f>
        <v>El collar es para una adolescente de 15 años y la clienta quiere ver que diseño se le propone para que se unan los 2 nombres. </v>
      </c>
      <c r="AE35" s="21" t="str">
        <f>IFERROR(__xludf.DUMMYFUNCTION("""COMPUTED_VALUE"""),"La mascotita está contigo  🐾🎉")</f>
        <v>La mascotita está contigo  🐾🎉</v>
      </c>
      <c r="AF35" s="20"/>
      <c r="AG35" s="20"/>
    </row>
    <row r="36" ht="15.75" customHeight="1">
      <c r="A36" s="20" t="s">
        <v>103</v>
      </c>
      <c r="B36" s="20" t="s">
        <v>33</v>
      </c>
      <c r="C36" s="21" t="str">
        <f>IFERROR(__xludf.DUMMYFUNCTION("""COMPUTED_VALUE"""),"Lucia gonzales")</f>
        <v>Lucia gonzales</v>
      </c>
      <c r="D36" s="20"/>
      <c r="E36" s="21" t="str">
        <f>IFERROR(__xludf.DUMMYFUNCTION("""COMPUTED_VALUE"""),"Pulsera huellita con nombre")</f>
        <v>Pulsera huellita con nombre</v>
      </c>
      <c r="F36" s="23">
        <v>45982.0</v>
      </c>
      <c r="G36" s="5"/>
      <c r="H36" s="5">
        <v>45982.0</v>
      </c>
      <c r="I36" s="21">
        <f>IFERROR(__xludf.DUMMYFUNCTION("""COMPUTED_VALUE"""),2.0)</f>
        <v>2</v>
      </c>
      <c r="J36" s="20"/>
      <c r="K36" s="21" t="str">
        <f>IFERROR(__xludf.DUMMYFUNCTION("""COMPUTED_VALUE"""),"1era pulsera: Shonky 2da pulsera:  Juliat")</f>
        <v>1era pulsera: Shonky 2da pulsera:  Juliat</v>
      </c>
      <c r="L36" s="21" t="str">
        <f>IFERROR(__xludf.DUMMYFUNCTION("""COMPUTED_VALUE"""),"X")</f>
        <v>X</v>
      </c>
      <c r="M36" s="20"/>
      <c r="N36" s="20"/>
      <c r="O36" s="24">
        <v>130.0</v>
      </c>
      <c r="P36" s="20">
        <v>12.0</v>
      </c>
      <c r="Q36" s="20">
        <v>142.0</v>
      </c>
      <c r="R36" s="20">
        <v>0.0</v>
      </c>
      <c r="S36" s="20">
        <v>142.0</v>
      </c>
      <c r="T36" s="20"/>
      <c r="U36" s="20"/>
      <c r="V36" s="20"/>
      <c r="W36" s="21">
        <f>IFERROR(__xludf.DUMMYFUNCTION("""COMPUTED_VALUE"""),9.87753533E8)</f>
        <v>987753533</v>
      </c>
      <c r="X36" s="21" t="str">
        <f>IFERROR(__xludf.DUMMYFUNCTION("""COMPUTED_VALUE"""),"Via principal 155 torre B San Isidro ")</f>
        <v>Via principal 155 torre B San Isidro </v>
      </c>
      <c r="Y36" s="21" t="str">
        <f>IFERROR(__xludf.DUMMYFUNCTION("""COMPUTED_VALUE"""),"X")</f>
        <v>X</v>
      </c>
      <c r="Z36" s="21" t="str">
        <f>IFERROR(__xludf.DUMMYFUNCTION("""COMPUTED_VALUE"""),"Para mi")</f>
        <v>Para mi</v>
      </c>
      <c r="AA36" s="20"/>
      <c r="AB36" s="22" t="str">
        <f>IFERROR(__xludf.DUMMYFUNCTION("""COMPUTED_VALUE"""),"Sandra")</f>
        <v>Sandra</v>
      </c>
      <c r="AC36" s="20" t="s">
        <v>104</v>
      </c>
      <c r="AD36" s="21" t="str">
        <f>IFERROR(__xludf.DUMMYFUNCTION("""COMPUTED_VALUE"""),"Xx")</f>
        <v>Xx</v>
      </c>
      <c r="AE36" s="21" t="str">
        <f>IFERROR(__xludf.DUMMYFUNCTION("""COMPUTED_VALUE"""),"La mascotita está contigo  🐾🎉")</f>
        <v>La mascotita está contigo  🐾🎉</v>
      </c>
      <c r="AF36" s="20"/>
      <c r="AG36" s="20"/>
    </row>
    <row r="37" ht="15.75" customHeight="1">
      <c r="A37" s="20" t="s">
        <v>105</v>
      </c>
      <c r="B37" s="20" t="s">
        <v>33</v>
      </c>
      <c r="C37" s="21" t="str">
        <f>IFERROR(__xludf.DUMMYFUNCTION("""COMPUTED_VALUE"""),"Maria Santos")</f>
        <v>Maria Santos</v>
      </c>
      <c r="D37" s="20"/>
      <c r="E37" s="21" t="str">
        <f>IFERROR(__xludf.DUMMYFUNCTION("""COMPUTED_VALUE"""),"P02 Pulsera dije circular 2cm con huecos s/149")</f>
        <v>P02 Pulsera dije circular 2cm con huecos s/149</v>
      </c>
      <c r="F37" s="23">
        <v>45984.0</v>
      </c>
      <c r="G37" s="5"/>
      <c r="H37" s="5">
        <v>45989.0</v>
      </c>
      <c r="I37" s="21">
        <f>IFERROR(__xludf.DUMMYFUNCTION("""COMPUTED_VALUE"""),1.0)</f>
        <v>1</v>
      </c>
      <c r="J37" s="20"/>
      <c r="K37" s="21" t="str">
        <f>IFERROR(__xludf.DUMMYFUNCTION("""COMPUTED_VALUE"""),"Cara del perrito y su nombre Dobby")</f>
        <v>Cara del perrito y su nombre Dobby</v>
      </c>
      <c r="L37" s="21" t="str">
        <f>IFERROR(__xludf.DUMMYFUNCTION("""COMPUTED_VALUE"""),"No")</f>
        <v>No</v>
      </c>
      <c r="M37" s="20"/>
      <c r="N37" s="20"/>
      <c r="O37" s="24">
        <v>149.0</v>
      </c>
      <c r="P37" s="20">
        <v>0.0</v>
      </c>
      <c r="Q37" s="20">
        <v>149.0</v>
      </c>
      <c r="R37" s="20">
        <v>0.0</v>
      </c>
      <c r="S37" s="20">
        <v>149.0</v>
      </c>
      <c r="T37" s="20"/>
      <c r="U37" s="20"/>
      <c r="V37" s="20"/>
      <c r="W37" s="21">
        <f>IFERROR(__xludf.DUMMYFUNCTION("""COMPUTED_VALUE"""),9.98639002E8)</f>
        <v>998639002</v>
      </c>
      <c r="X37" s="21" t="str">
        <f>IFERROR(__xludf.DUMMYFUNCTION("""COMPUTED_VALUE"""),"No")</f>
        <v>No</v>
      </c>
      <c r="Y37" s="21" t="str">
        <f>IFERROR(__xludf.DUMMYFUNCTION("""COMPUTED_VALUE"""),"No")</f>
        <v>No</v>
      </c>
      <c r="Z37" s="21" t="str">
        <f>IFERROR(__xludf.DUMMYFUNCTION("""COMPUTED_VALUE"""),"Para mi hija ")</f>
        <v>Para mi hija </v>
      </c>
      <c r="AA37" s="20"/>
      <c r="AB37" s="22" t="str">
        <f>IFERROR(__xludf.DUMMYFUNCTION("""COMPUTED_VALUE"""),"Sandra")</f>
        <v>Sandra</v>
      </c>
      <c r="AC37" s="20" t="s">
        <v>106</v>
      </c>
      <c r="AD37" s="21" t="str">
        <f>IFERROR(__xludf.DUMMYFUNCTION("""COMPUTED_VALUE"""),"Me envían la dirección para recogerlo. ")</f>
        <v>Me envían la dirección para recogerlo. </v>
      </c>
      <c r="AE37" s="21" t="str">
        <f>IFERROR(__xludf.DUMMYFUNCTION("""COMPUTED_VALUE"""),"La mascotita está contigo  🐾🎉")</f>
        <v>La mascotita está contigo  🐾🎉</v>
      </c>
      <c r="AF37" s="20"/>
      <c r="AG37" s="20"/>
    </row>
    <row r="38" ht="15.75" customHeight="1">
      <c r="A38" s="20" t="s">
        <v>107</v>
      </c>
      <c r="B38" s="20" t="s">
        <v>33</v>
      </c>
      <c r="C38" s="21" t="str">
        <f>IFERROR(__xludf.DUMMYFUNCTION("""COMPUTED_VALUE"""),"Juana Rosario Muñante Pachas ")</f>
        <v>Juana Rosario Muñante Pachas </v>
      </c>
      <c r="D38" s="20"/>
      <c r="E38" s="21" t="str">
        <f>IFERROR(__xludf.DUMMYFUNCTION("""COMPUTED_VALUE"""),"P07 Pulsera con hilo negro dije circular s/149")</f>
        <v>P07 Pulsera con hilo negro dije circular s/149</v>
      </c>
      <c r="F38" s="23">
        <v>45985.0</v>
      </c>
      <c r="G38" s="5"/>
      <c r="H38" s="5">
        <v>45989.0</v>
      </c>
      <c r="I38" s="21">
        <f>IFERROR(__xludf.DUMMYFUNCTION("""COMPUTED_VALUE"""),1.0)</f>
        <v>1</v>
      </c>
      <c r="J38" s="20"/>
      <c r="K38" s="21" t="str">
        <f>IFERROR(__xludf.DUMMYFUNCTION("""COMPUTED_VALUE"""),"Sí ")</f>
        <v>Sí </v>
      </c>
      <c r="L38" s="21" t="str">
        <f>IFERROR(__xludf.DUMMYFUNCTION("""COMPUTED_VALUE"""),"No")</f>
        <v>No</v>
      </c>
      <c r="M38" s="20"/>
      <c r="N38" s="20"/>
      <c r="O38" s="24">
        <v>149.0</v>
      </c>
      <c r="P38" s="20">
        <v>0.0</v>
      </c>
      <c r="Q38" s="20">
        <v>149.0</v>
      </c>
      <c r="R38" s="20">
        <v>74.5</v>
      </c>
      <c r="S38" s="20">
        <v>74.5</v>
      </c>
      <c r="T38" s="20"/>
      <c r="U38" s="20"/>
      <c r="V38" s="20"/>
      <c r="W38" s="21">
        <f>IFERROR(__xludf.DUMMYFUNCTION("""COMPUTED_VALUE"""),9.92182012E8)</f>
        <v>992182012</v>
      </c>
      <c r="X38" s="21" t="str">
        <f>IFERROR(__xludf.DUMMYFUNCTION("""COMPUTED_VALUE"""),"No")</f>
        <v>No</v>
      </c>
      <c r="Y38" s="21" t="str">
        <f>IFERROR(__xludf.DUMMYFUNCTION("""COMPUTED_VALUE"""),"Juana Rosario Muñante Pachas - 21464254 - 992182012 - Av. J.J. Elias - Ica")</f>
        <v>Juana Rosario Muñante Pachas - 21464254 - 992182012 - Av. J.J. Elias - Ica</v>
      </c>
      <c r="Z38" s="21" t="str">
        <f>IFERROR(__xludf.DUMMYFUNCTION("""COMPUTED_VALUE"""),"Hijo")</f>
        <v>Hijo</v>
      </c>
      <c r="AA38" s="20"/>
      <c r="AB38" s="22" t="str">
        <f>IFERROR(__xludf.DUMMYFUNCTION("""COMPUTED_VALUE"""),"Sandra")</f>
        <v>Sandra</v>
      </c>
      <c r="AC38" s="20" t="s">
        <v>108</v>
      </c>
      <c r="AD38" s="21" t="str">
        <f>IFERROR(__xludf.DUMMYFUNCTION("""COMPUTED_VALUE"""),"He marcado enviar por empresa, pero, espero poder coordinar el envío ")</f>
        <v>He marcado enviar por empresa, pero, espero poder coordinar el envío </v>
      </c>
      <c r="AE38" s="21" t="str">
        <f>IFERROR(__xludf.DUMMYFUNCTION("""COMPUTED_VALUE"""),"La mascotita está contigo  🐾🎉")</f>
        <v>La mascotita está contigo  🐾🎉</v>
      </c>
      <c r="AF38" s="20"/>
      <c r="AG38" s="20"/>
    </row>
    <row r="39" ht="15.75" customHeight="1">
      <c r="A39" s="20" t="s">
        <v>109</v>
      </c>
      <c r="B39" s="20" t="s">
        <v>33</v>
      </c>
      <c r="C39" s="21" t="str">
        <f>IFERROR(__xludf.DUMMYFUNCTION("""COMPUTED_VALUE"""),"Jorge Ramirez Piñeiro")</f>
        <v>Jorge Ramirez Piñeiro</v>
      </c>
      <c r="D39" s="20"/>
      <c r="E39" s="21" t="str">
        <f>IFERROR(__xludf.DUMMYFUNCTION("""COMPUTED_VALUE"""),"DL02 Dije circular solo 2cm s/139")</f>
        <v>DL02 Dije circular solo 2cm s/139</v>
      </c>
      <c r="F39" s="23">
        <v>45985.0</v>
      </c>
      <c r="G39" s="5"/>
      <c r="H39" s="5">
        <v>45989.0</v>
      </c>
      <c r="I39" s="21" t="str">
        <f>IFERROR(__xludf.DUMMYFUNCTION("""COMPUTED_VALUE"""),"01")</f>
        <v>01</v>
      </c>
      <c r="J39" s="20"/>
      <c r="K39" s="21" t="str">
        <f>IFERROR(__xludf.DUMMYFUNCTION("""COMPUTED_VALUE"""),"No")</f>
        <v>No</v>
      </c>
      <c r="L39" s="21" t="str">
        <f>IFERROR(__xludf.DUMMYFUNCTION("""COMPUTED_VALUE"""),"No")</f>
        <v>No</v>
      </c>
      <c r="M39" s="20" t="s">
        <v>36</v>
      </c>
      <c r="N39" s="20"/>
      <c r="O39" s="24">
        <v>139.0</v>
      </c>
      <c r="P39" s="20">
        <v>12.0</v>
      </c>
      <c r="Q39" s="20">
        <v>151.0</v>
      </c>
      <c r="R39" s="20">
        <v>90.5</v>
      </c>
      <c r="S39" s="20">
        <v>60.5</v>
      </c>
      <c r="T39" s="20"/>
      <c r="U39" s="20"/>
      <c r="V39" s="20"/>
      <c r="W39" s="21">
        <f>IFERROR(__xludf.DUMMYFUNCTION("""COMPUTED_VALUE"""),9.55859341E8)</f>
        <v>955859341</v>
      </c>
      <c r="X39" s="21" t="str">
        <f>IFERROR(__xludf.DUMMYFUNCTION("""COMPUTED_VALUE"""),"X")</f>
        <v>X</v>
      </c>
      <c r="Y39" s="21" t="str">
        <f>IFERROR(__xludf.DUMMYFUNCTION("""COMPUTED_VALUE"""),"Jorge Ramirez Piñeiro- 955859341- 74995245- surco ")</f>
        <v>Jorge Ramirez Piñeiro- 955859341- 74995245- surco </v>
      </c>
      <c r="Z39" s="21" t="str">
        <f>IFERROR(__xludf.DUMMYFUNCTION("""COMPUTED_VALUE"""),"Para mi novia ")</f>
        <v>Para mi novia </v>
      </c>
      <c r="AA39" s="20"/>
      <c r="AB39" s="22" t="str">
        <f>IFERROR(__xludf.DUMMYFUNCTION("""COMPUTED_VALUE"""),"Sandra")</f>
        <v>Sandra</v>
      </c>
      <c r="AC39" s="20" t="s">
        <v>110</v>
      </c>
      <c r="AD39" s="21" t="str">
        <f>IFERROR(__xludf.DUMMYFUNCTION("""COMPUTED_VALUE"""),"Que sea de la dimensión que se especificó por WhatsApp sumamente importante por favor 🙏🏼 ")</f>
        <v>Que sea de la dimensión que se especificó por WhatsApp sumamente importante por favor 🙏🏼 </v>
      </c>
      <c r="AE39" s="21" t="str">
        <f>IFERROR(__xludf.DUMMYFUNCTION("""COMPUTED_VALUE"""),"La mascotita está contigo  🐾🎉")</f>
        <v>La mascotita está contigo  🐾🎉</v>
      </c>
      <c r="AF39" s="20"/>
      <c r="AG39" s="20"/>
    </row>
    <row r="40" ht="15.75" customHeight="1">
      <c r="A40" s="20" t="s">
        <v>111</v>
      </c>
      <c r="B40" s="20" t="s">
        <v>33</v>
      </c>
      <c r="C40" s="21" t="str">
        <f>IFERROR(__xludf.DUMMYFUNCTION("""COMPUTED_VALUE"""),"Giancarlo Peramás ")</f>
        <v>Giancarlo Peramás </v>
      </c>
      <c r="D40" s="20"/>
      <c r="E40" s="21" t="str">
        <f>IFERROR(__xludf.DUMMYFUNCTION("""COMPUTED_VALUE"""),"Pulsera plata")</f>
        <v>Pulsera plata</v>
      </c>
      <c r="F40" s="23">
        <v>45985.0</v>
      </c>
      <c r="G40" s="5"/>
      <c r="H40" s="5">
        <v>45989.0</v>
      </c>
      <c r="I40" s="21">
        <f>IFERROR(__xludf.DUMMYFUNCTION("""COMPUTED_VALUE"""),1.0)</f>
        <v>1</v>
      </c>
      <c r="J40" s="20"/>
      <c r="K40" s="21" t="str">
        <f>IFERROR(__xludf.DUMMYFUNCTION("""COMPUTED_VALUE"""),"Grabado de mis dos mascotas ")</f>
        <v>Grabado de mis dos mascotas </v>
      </c>
      <c r="L40" s="21" t="str">
        <f>IFERROR(__xludf.DUMMYFUNCTION("""COMPUTED_VALUE"""),"No")</f>
        <v>No</v>
      </c>
      <c r="M40" s="20" t="s">
        <v>36</v>
      </c>
      <c r="N40" s="20"/>
      <c r="O40" s="24">
        <v>179.0</v>
      </c>
      <c r="P40" s="20">
        <v>0.0</v>
      </c>
      <c r="Q40" s="20">
        <v>179.0</v>
      </c>
      <c r="R40" s="20">
        <v>0.0</v>
      </c>
      <c r="S40" s="20">
        <v>179.0</v>
      </c>
      <c r="T40" s="20"/>
      <c r="U40" s="20"/>
      <c r="V40" s="20"/>
      <c r="W40" s="21">
        <f>IFERROR(__xludf.DUMMYFUNCTION("""COMPUTED_VALUE"""),9.61887361E8)</f>
        <v>961887361</v>
      </c>
      <c r="X40" s="21" t="str">
        <f>IFERROR(__xludf.DUMMYFUNCTION("""COMPUTED_VALUE"""),"Recoger ")</f>
        <v>Recoger </v>
      </c>
      <c r="Y40" s="21" t="str">
        <f>IFERROR(__xludf.DUMMYFUNCTION("""COMPUTED_VALUE"""),"No")</f>
        <v>No</v>
      </c>
      <c r="Z40" s="21" t="str">
        <f>IFERROR(__xludf.DUMMYFUNCTION("""COMPUTED_VALUE"""),"Para mi")</f>
        <v>Para mi</v>
      </c>
      <c r="AA40" s="20"/>
      <c r="AB40" s="22" t="str">
        <f>IFERROR(__xludf.DUMMYFUNCTION("""COMPUTED_VALUE"""),"Sandra")</f>
        <v>Sandra</v>
      </c>
      <c r="AC40" s="20" t="s">
        <v>112</v>
      </c>
      <c r="AD40" s="21" t="str">
        <f>IFERROR(__xludf.DUMMYFUNCTION("""COMPUTED_VALUE"""),"Gracias ")</f>
        <v>Gracias </v>
      </c>
      <c r="AE40" s="21" t="str">
        <f>IFERROR(__xludf.DUMMYFUNCTION("""COMPUTED_VALUE"""),"La mascotita está contigo  🐾🎉")</f>
        <v>La mascotita está contigo  🐾🎉</v>
      </c>
      <c r="AF40" s="20"/>
      <c r="AG40" s="20"/>
    </row>
    <row r="41" ht="15.75" customHeight="1">
      <c r="A41" s="20" t="s">
        <v>113</v>
      </c>
      <c r="B41" s="20" t="s">
        <v>33</v>
      </c>
      <c r="C41" s="21" t="str">
        <f>IFERROR(__xludf.DUMMYFUNCTION("""COMPUTED_VALUE"""),"Lalo")</f>
        <v>Lalo</v>
      </c>
      <c r="D41" s="20"/>
      <c r="E41" s="21" t="str">
        <f>IFERROR(__xludf.DUMMYFUNCTION("""COMPUTED_VALUE"""),"Solo dije 1.5cm con persona y perrito")</f>
        <v>Solo dije 1.5cm con persona y perrito</v>
      </c>
      <c r="F41" s="23">
        <v>45984.0</v>
      </c>
      <c r="G41" s="5"/>
      <c r="H41" s="5">
        <v>45987.0</v>
      </c>
      <c r="I41" s="21">
        <f>IFERROR(__xludf.DUMMYFUNCTION("""COMPUTED_VALUE"""),1.0)</f>
        <v>1</v>
      </c>
      <c r="J41" s="20"/>
      <c r="K41" s="21" t="str">
        <f>IFERROR(__xludf.DUMMYFUNCTION("""COMPUTED_VALUE"""),"no")</f>
        <v>no</v>
      </c>
      <c r="L41" s="21" t="str">
        <f>IFERROR(__xludf.DUMMYFUNCTION("""COMPUTED_VALUE"""),"no")</f>
        <v>no</v>
      </c>
      <c r="M41" s="20" t="s">
        <v>36</v>
      </c>
      <c r="N41" s="20"/>
      <c r="O41" s="24">
        <v>99.0</v>
      </c>
      <c r="P41" s="20">
        <v>0.0</v>
      </c>
      <c r="Q41" s="20">
        <v>99.0</v>
      </c>
      <c r="R41" s="20">
        <v>0.0</v>
      </c>
      <c r="S41" s="20">
        <v>99.0</v>
      </c>
      <c r="T41" s="20"/>
      <c r="U41" s="20"/>
      <c r="V41" s="20"/>
      <c r="W41" s="21">
        <f>IFERROR(__xludf.DUMMYFUNCTION("""COMPUTED_VALUE"""),9.91229293E8)</f>
        <v>991229293</v>
      </c>
      <c r="X41" s="21" t="str">
        <f>IFERROR(__xludf.DUMMYFUNCTION("""COMPUTED_VALUE"""),"xx")</f>
        <v>xx</v>
      </c>
      <c r="Y41" s="21" t="str">
        <f>IFERROR(__xludf.DUMMYFUNCTION("""COMPUTED_VALUE"""),"no")</f>
        <v>no</v>
      </c>
      <c r="Z41" s="21" t="str">
        <f>IFERROR(__xludf.DUMMYFUNCTION("""COMPUTED_VALUE"""),"Para mi")</f>
        <v>Para mi</v>
      </c>
      <c r="AA41" s="20"/>
      <c r="AB41" s="22" t="str">
        <f>IFERROR(__xludf.DUMMYFUNCTION("""COMPUTED_VALUE"""),"Sandra")</f>
        <v>Sandra</v>
      </c>
      <c r="AC41" s="20" t="s">
        <v>114</v>
      </c>
      <c r="AD41" s="21" t="str">
        <f>IFERROR(__xludf.DUMMYFUNCTION("""COMPUTED_VALUE"""),"xx")</f>
        <v>xx</v>
      </c>
      <c r="AE41" s="21" t="str">
        <f>IFERROR(__xludf.DUMMYFUNCTION("""COMPUTED_VALUE"""),"La mascotita está contigo  🐾🎉")</f>
        <v>La mascotita está contigo  🐾🎉</v>
      </c>
      <c r="AF41" s="20"/>
      <c r="AG41" s="20"/>
    </row>
    <row r="42" ht="15.75" customHeight="1">
      <c r="A42" s="25" t="s">
        <v>115</v>
      </c>
      <c r="B42" s="20" t="s">
        <v>33</v>
      </c>
      <c r="C42" s="21" t="str">
        <f>IFERROR(__xludf.DUMMYFUNCTION("""COMPUTED_VALUE"""),"Lalo")</f>
        <v>Lalo</v>
      </c>
      <c r="D42" s="20"/>
      <c r="E42" s="21" t="str">
        <f>IFERROR(__xludf.DUMMYFUNCTION("""COMPUTED_VALUE"""),"CL03 Collar con dije silueta 2.6cm s/185")</f>
        <v>CL03 Collar con dije silueta 2.6cm s/185</v>
      </c>
      <c r="F42" s="23">
        <v>45984.0</v>
      </c>
      <c r="G42" s="5"/>
      <c r="H42" s="5">
        <v>45987.0</v>
      </c>
      <c r="I42" s="21">
        <f>IFERROR(__xludf.DUMMYFUNCTION("""COMPUTED_VALUE"""),1.0)</f>
        <v>1</v>
      </c>
      <c r="J42" s="20"/>
      <c r="K42" s="21" t="str">
        <f>IFERROR(__xludf.DUMMYFUNCTION("""COMPUTED_VALUE"""),"x")</f>
        <v>x</v>
      </c>
      <c r="L42" s="21" t="str">
        <f>IFERROR(__xludf.DUMMYFUNCTION("""COMPUTED_VALUE"""),"x")</f>
        <v>x</v>
      </c>
      <c r="M42" s="20" t="s">
        <v>36</v>
      </c>
      <c r="N42" s="20"/>
      <c r="O42" s="24">
        <v>165.0</v>
      </c>
      <c r="P42" s="20">
        <v>0.0</v>
      </c>
      <c r="Q42" s="20">
        <v>165.0</v>
      </c>
      <c r="R42" s="20">
        <v>0.0</v>
      </c>
      <c r="S42" s="20">
        <v>165.0</v>
      </c>
      <c r="T42" s="20"/>
      <c r="U42" s="20"/>
      <c r="V42" s="20"/>
      <c r="W42" s="21">
        <f>IFERROR(__xludf.DUMMYFUNCTION("""COMPUTED_VALUE"""),9.91229293E8)</f>
        <v>991229293</v>
      </c>
      <c r="X42" s="21" t="str">
        <f>IFERROR(__xludf.DUMMYFUNCTION("""COMPUTED_VALUE"""),"x")</f>
        <v>x</v>
      </c>
      <c r="Y42" s="21" t="str">
        <f>IFERROR(__xludf.DUMMYFUNCTION("""COMPUTED_VALUE"""),"x")</f>
        <v>x</v>
      </c>
      <c r="Z42" s="21" t="str">
        <f>IFERROR(__xludf.DUMMYFUNCTION("""COMPUTED_VALUE"""),"Para mi")</f>
        <v>Para mi</v>
      </c>
      <c r="AA42" s="20"/>
      <c r="AB42" s="22" t="str">
        <f>IFERROR(__xludf.DUMMYFUNCTION("""COMPUTED_VALUE"""),"Sandra")</f>
        <v>Sandra</v>
      </c>
      <c r="AC42" s="20" t="s">
        <v>116</v>
      </c>
      <c r="AD42" s="21" t="str">
        <f>IFERROR(__xludf.DUMMYFUNCTION("""COMPUTED_VALUE"""),"xx")</f>
        <v>xx</v>
      </c>
      <c r="AE42" s="21" t="str">
        <f>IFERROR(__xludf.DUMMYFUNCTION("""COMPUTED_VALUE"""),"La mascotita está contigo  🐾🎉")</f>
        <v>La mascotita está contigo  🐾🎉</v>
      </c>
      <c r="AF42" s="20"/>
      <c r="AG42" s="20"/>
    </row>
    <row r="43" ht="15.75" customHeight="1">
      <c r="A43" s="26" t="s">
        <v>117</v>
      </c>
      <c r="B43" s="20" t="s">
        <v>33</v>
      </c>
      <c r="C43" s="21" t="str">
        <f>IFERROR(__xludf.DUMMYFUNCTION("""COMPUTED_VALUE"""),"Lucia Gonzales ")</f>
        <v>Lucia Gonzales </v>
      </c>
      <c r="D43" s="20"/>
      <c r="E43" s="21" t="str">
        <f>IFERROR(__xludf.DUMMYFUNCTION("""COMPUTED_VALUE"""),"Pulsera con pug")</f>
        <v>Pulsera con pug</v>
      </c>
      <c r="F43" s="23">
        <v>45985.0</v>
      </c>
      <c r="G43" s="5"/>
      <c r="H43" s="5">
        <v>45989.0</v>
      </c>
      <c r="I43" s="21">
        <f>IFERROR(__xludf.DUMMYFUNCTION("""COMPUTED_VALUE"""),1.0)</f>
        <v>1</v>
      </c>
      <c r="J43" s="20"/>
      <c r="K43" s="21" t="str">
        <f>IFERROR(__xludf.DUMMYFUNCTION("""COMPUTED_VALUE"""),"no")</f>
        <v>no</v>
      </c>
      <c r="L43" s="21" t="str">
        <f>IFERROR(__xludf.DUMMYFUNCTION("""COMPUTED_VALUE"""),"no")</f>
        <v>no</v>
      </c>
      <c r="M43" s="20"/>
      <c r="N43" s="20"/>
      <c r="O43" s="20">
        <v>40.0</v>
      </c>
      <c r="P43" s="20">
        <v>12.0</v>
      </c>
      <c r="Q43" s="20">
        <v>52.0</v>
      </c>
      <c r="R43" s="20">
        <v>0.0</v>
      </c>
      <c r="S43" s="20">
        <v>52.0</v>
      </c>
      <c r="T43" s="20"/>
      <c r="U43" s="20"/>
      <c r="V43" s="20"/>
      <c r="W43" s="21">
        <f>IFERROR(__xludf.DUMMYFUNCTION("""COMPUTED_VALUE"""),9.87753533E8)</f>
        <v>987753533</v>
      </c>
      <c r="X43" s="21" t="str">
        <f>IFERROR(__xludf.DUMMYFUNCTION("""COMPUTED_VALUE"""),"san isidro o san borja")</f>
        <v>san isidro o san borja</v>
      </c>
      <c r="Y43" s="21" t="str">
        <f>IFERROR(__xludf.DUMMYFUNCTION("""COMPUTED_VALUE"""),"x")</f>
        <v>x</v>
      </c>
      <c r="Z43" s="21" t="str">
        <f>IFERROR(__xludf.DUMMYFUNCTION("""COMPUTED_VALUE"""),"regalo")</f>
        <v>regalo</v>
      </c>
      <c r="AA43" s="20"/>
      <c r="AB43" s="22" t="str">
        <f>IFERROR(__xludf.DUMMYFUNCTION("""COMPUTED_VALUE"""),"Sandra")</f>
        <v>Sandra</v>
      </c>
      <c r="AC43" s="20"/>
      <c r="AD43" s="21" t="str">
        <f>IFERROR(__xludf.DUMMYFUNCTION("""COMPUTED_VALUE"""),"Hilo rojo")</f>
        <v>Hilo rojo</v>
      </c>
      <c r="AE43" s="21" t="str">
        <f>IFERROR(__xludf.DUMMYFUNCTION("""COMPUTED_VALUE"""),"La mascotita está contigo  🐾🎉")</f>
        <v>La mascotita está contigo  🐾🎉</v>
      </c>
      <c r="AF43" s="20"/>
      <c r="AG43" s="20"/>
    </row>
    <row r="44" ht="15.75" customHeight="1">
      <c r="A44" s="20" t="s">
        <v>118</v>
      </c>
      <c r="B44" s="20" t="s">
        <v>33</v>
      </c>
      <c r="C44" s="21" t="str">
        <f>IFERROR(__xludf.DUMMYFUNCTION("""COMPUTED_VALUE"""),"Lucia Gonzales ")</f>
        <v>Lucia Gonzales </v>
      </c>
      <c r="D44" s="20"/>
      <c r="E44" s="21" t="str">
        <f>IFERROR(__xludf.DUMMYFUNCTION("""COMPUTED_VALUE"""),"pulseras con silueta schnauzer hilo rojo")</f>
        <v>pulseras con silueta schnauzer hilo rojo</v>
      </c>
      <c r="F44" s="23">
        <v>45985.0</v>
      </c>
      <c r="G44" s="5"/>
      <c r="H44" s="5">
        <v>45989.0</v>
      </c>
      <c r="I44" s="21">
        <f>IFERROR(__xludf.DUMMYFUNCTION("""COMPUTED_VALUE"""),2.0)</f>
        <v>2</v>
      </c>
      <c r="J44" s="20"/>
      <c r="K44" s="21" t="str">
        <f>IFERROR(__xludf.DUMMYFUNCTION("""COMPUTED_VALUE"""),"no")</f>
        <v>no</v>
      </c>
      <c r="L44" s="21" t="str">
        <f>IFERROR(__xludf.DUMMYFUNCTION("""COMPUTED_VALUE"""),"no")</f>
        <v>no</v>
      </c>
      <c r="M44" s="20"/>
      <c r="N44" s="20"/>
      <c r="O44" s="20">
        <v>80.0</v>
      </c>
      <c r="P44" s="20">
        <v>0.0</v>
      </c>
      <c r="Q44" s="20">
        <v>80.0</v>
      </c>
      <c r="R44" s="20">
        <v>0.0</v>
      </c>
      <c r="S44" s="20">
        <v>80.0</v>
      </c>
      <c r="T44" s="20"/>
      <c r="U44" s="20"/>
      <c r="V44" s="20"/>
      <c r="W44" s="21">
        <f>IFERROR(__xludf.DUMMYFUNCTION("""COMPUTED_VALUE"""),9.87753533E8)</f>
        <v>987753533</v>
      </c>
      <c r="X44" s="21" t="str">
        <f>IFERROR(__xludf.DUMMYFUNCTION("""COMPUTED_VALUE"""),"san borja o san isidro")</f>
        <v>san borja o san isidro</v>
      </c>
      <c r="Y44" s="21" t="str">
        <f>IFERROR(__xludf.DUMMYFUNCTION("""COMPUTED_VALUE"""),"x")</f>
        <v>x</v>
      </c>
      <c r="Z44" s="21" t="str">
        <f>IFERROR(__xludf.DUMMYFUNCTION("""COMPUTED_VALUE"""),"regalo")</f>
        <v>regalo</v>
      </c>
      <c r="AA44" s="20"/>
      <c r="AB44" s="22" t="str">
        <f>IFERROR(__xludf.DUMMYFUNCTION("""COMPUTED_VALUE"""),"Sandra")</f>
        <v>Sandra</v>
      </c>
      <c r="AC44" s="20"/>
      <c r="AD44" s="21" t="str">
        <f>IFERROR(__xludf.DUMMYFUNCTION("""COMPUTED_VALUE"""),"hilo rojo los dos")</f>
        <v>hilo rojo los dos</v>
      </c>
      <c r="AE44" s="21" t="str">
        <f>IFERROR(__xludf.DUMMYFUNCTION("""COMPUTED_VALUE"""),"La mascotita ya está en el arcoiris 🌈🙏")</f>
        <v>La mascotita ya está en el arcoiris 🌈🙏</v>
      </c>
      <c r="AF44" s="20"/>
      <c r="AG44" s="20"/>
    </row>
    <row r="45" ht="15.75" customHeight="1">
      <c r="A45" s="27" t="s">
        <v>119</v>
      </c>
      <c r="B45" s="20" t="s">
        <v>33</v>
      </c>
      <c r="C45" s="21" t="str">
        <f>IFERROR(__xludf.DUMMYFUNCTION("""COMPUTED_VALUE"""),"Heydi Giovana Hernández Mendoza ")</f>
        <v>Heydi Giovana Hernández Mendoza </v>
      </c>
      <c r="D45" s="20"/>
      <c r="E45" s="21" t="str">
        <f>IFERROR(__xludf.DUMMYFUNCTION("""COMPUTED_VALUE"""),"CL01 Collar dije circular 1.5cm s/149")</f>
        <v>CL01 Collar dije circular 1.5cm s/149</v>
      </c>
      <c r="F45" s="23">
        <v>45989.0</v>
      </c>
      <c r="G45" s="5"/>
      <c r="H45" s="5">
        <v>45996.0</v>
      </c>
      <c r="I45" s="21">
        <f>IFERROR(__xludf.DUMMYFUNCTION("""COMPUTED_VALUE"""),1.0)</f>
        <v>1</v>
      </c>
      <c r="J45" s="20"/>
      <c r="K45" s="21" t="str">
        <f>IFERROR(__xludf.DUMMYFUNCTION("""COMPUTED_VALUE"""),"KITHY")</f>
        <v>KITHY</v>
      </c>
      <c r="L45" s="21" t="str">
        <f>IFERROR(__xludf.DUMMYFUNCTION("""COMPUTED_VALUE"""),"Siempre contigo")</f>
        <v>Siempre contigo</v>
      </c>
      <c r="M45" s="20" t="s">
        <v>36</v>
      </c>
      <c r="N45" s="20"/>
      <c r="O45" s="27">
        <v>141.0</v>
      </c>
      <c r="P45" s="20">
        <v>12.0</v>
      </c>
      <c r="Q45" s="20">
        <v>153.0</v>
      </c>
      <c r="R45" s="20">
        <v>0.0</v>
      </c>
      <c r="S45" s="20">
        <v>153.0</v>
      </c>
      <c r="T45" s="20"/>
      <c r="U45" s="20"/>
      <c r="V45" s="20"/>
      <c r="W45" s="21">
        <f>IFERROR(__xludf.DUMMYFUNCTION("""COMPUTED_VALUE"""),9.66726043E8)</f>
        <v>966726043</v>
      </c>
      <c r="X45" s="21" t="str">
        <f>IFERROR(__xludf.DUMMYFUNCTION("""COMPUTED_VALUE"""),"LOS ZAFIROS 370. URB. SANTA INES")</f>
        <v>LOS ZAFIROS 370. URB. SANTA INES</v>
      </c>
      <c r="Y45" s="21" t="str">
        <f>IFERROR(__xludf.DUMMYFUNCTION("""COMPUTED_VALUE"""),"Heydi Giovana Hernández Mendoza, celular: 966726043, DNI: 44239295, agencia de Liverpool -Trujillo")</f>
        <v>Heydi Giovana Hernández Mendoza, celular: 966726043, DNI: 44239295, agencia de Liverpool -Trujillo</v>
      </c>
      <c r="Z45" s="21" t="str">
        <f>IFERROR(__xludf.DUMMYFUNCTION("""COMPUTED_VALUE"""),"Hermana")</f>
        <v>Hermana</v>
      </c>
      <c r="AA45" s="20"/>
      <c r="AB45" s="22" t="str">
        <f>IFERROR(__xludf.DUMMYFUNCTION("""COMPUTED_VALUE"""),"Sandra")</f>
        <v>Sandra</v>
      </c>
      <c r="AC45" s="20" t="s">
        <v>120</v>
      </c>
      <c r="AD45" s="21" t="str">
        <f>IFERROR(__xludf.DUMMYFUNCTION("""COMPUTED_VALUE"""),"Muy contenta con mi pedida, espero cumpla mis espectativas ")</f>
        <v>Muy contenta con mi pedida, espero cumpla mis espectativas </v>
      </c>
      <c r="AE45" s="21" t="str">
        <f>IFERROR(__xludf.DUMMYFUNCTION("""COMPUTED_VALUE"""),"La mascotita ya está en el arcoiris 🌈🙏")</f>
        <v>La mascotita ya está en el arcoiris 🌈🙏</v>
      </c>
      <c r="AF45" s="20"/>
      <c r="AG45" s="20"/>
    </row>
    <row r="46" ht="15.75" customHeight="1">
      <c r="A46" s="20" t="s">
        <v>121</v>
      </c>
      <c r="B46" s="20" t="s">
        <v>33</v>
      </c>
      <c r="C46" s="21" t="str">
        <f>IFERROR(__xludf.DUMMYFUNCTION("""COMPUTED_VALUE"""),"Claudia Rospigliosi Baixarias")</f>
        <v>Claudia Rospigliosi Baixarias</v>
      </c>
      <c r="D46" s="20"/>
      <c r="E46" s="21" t="str">
        <f>IFERROR(__xludf.DUMMYFUNCTION("""COMPUTED_VALUE"""),"dije personalizado en resina con pelito.")</f>
        <v>dije personalizado en resina con pelito.</v>
      </c>
      <c r="F46" s="23">
        <v>45991.0</v>
      </c>
      <c r="G46" s="5"/>
      <c r="H46" s="5">
        <v>45996.0</v>
      </c>
      <c r="I46" s="21">
        <f>IFERROR(__xludf.DUMMYFUNCTION("""COMPUTED_VALUE"""),3.0)</f>
        <v>3</v>
      </c>
      <c r="J46" s="20"/>
      <c r="K46" s="21" t="str">
        <f>IFERROR(__xludf.DUMMYFUNCTION("""COMPUTED_VALUE"""),"x")</f>
        <v>x</v>
      </c>
      <c r="L46" s="21" t="str">
        <f>IFERROR(__xludf.DUMMYFUNCTION("""COMPUTED_VALUE"""),"x")</f>
        <v>x</v>
      </c>
      <c r="M46" s="20"/>
      <c r="N46" s="20"/>
      <c r="O46" s="20">
        <v>267.0</v>
      </c>
      <c r="P46" s="20">
        <v>0.0</v>
      </c>
      <c r="Q46" s="20">
        <v>267.0</v>
      </c>
      <c r="R46" s="20">
        <v>89.0</v>
      </c>
      <c r="S46" s="20">
        <v>178.0</v>
      </c>
      <c r="T46" s="20"/>
      <c r="U46" s="20"/>
      <c r="V46" s="20"/>
      <c r="W46" s="21">
        <f>IFERROR(__xludf.DUMMYFUNCTION("""COMPUTED_VALUE"""),9.71995125E8)</f>
        <v>971995125</v>
      </c>
      <c r="X46" s="21" t="str">
        <f>IFERROR(__xludf.DUMMYFUNCTION("""COMPUTED_VALUE"""),"x")</f>
        <v>x</v>
      </c>
      <c r="Y46" s="21" t="str">
        <f>IFERROR(__xludf.DUMMYFUNCTION("""COMPUTED_VALUE"""),"x")</f>
        <v>x</v>
      </c>
      <c r="Z46" s="21" t="str">
        <f>IFERROR(__xludf.DUMMYFUNCTION("""COMPUTED_VALUE"""),"Para mi, familia")</f>
        <v>Para mi, familia</v>
      </c>
      <c r="AA46" s="20"/>
      <c r="AB46" s="22" t="str">
        <f>IFERROR(__xludf.DUMMYFUNCTION("""COMPUTED_VALUE"""),"Sandra")</f>
        <v>Sandra</v>
      </c>
      <c r="AC46" s="20" t="s">
        <v>122</v>
      </c>
      <c r="AD46" s="21" t="str">
        <f>IFERROR(__xludf.DUMMYFUNCTION("""COMPUTED_VALUE"""),"Confió en su trabajo, por favor si sobra pelito me lo entregan. ")</f>
        <v>Confió en su trabajo, por favor si sobra pelito me lo entregan. </v>
      </c>
      <c r="AE46" s="21" t="str">
        <f>IFERROR(__xludf.DUMMYFUNCTION("""COMPUTED_VALUE"""),"La mascotita ya está en el arcoiris 🌈🙏")</f>
        <v>La mascotita ya está en el arcoiris 🌈🙏</v>
      </c>
      <c r="AF46" s="20"/>
      <c r="AG46" s="20"/>
    </row>
    <row r="47" ht="15.75" customHeight="1">
      <c r="A47" s="20" t="s">
        <v>123</v>
      </c>
      <c r="B47" s="20" t="s">
        <v>33</v>
      </c>
      <c r="C47" s="21" t="str">
        <f>IFERROR(__xludf.DUMMYFUNCTION("""COMPUTED_VALUE"""),"Caroline alexandra rivas arce")</f>
        <v>Caroline alexandra rivas arce</v>
      </c>
      <c r="D47" s="20"/>
      <c r="E47" s="21" t="str">
        <f>IFERROR(__xludf.DUMMYFUNCTION("""COMPUTED_VALUE"""),"CL02 Collar dije circular 2cm s/169")</f>
        <v>CL02 Collar dije circular 2cm s/169</v>
      </c>
      <c r="F47" s="23">
        <v>45992.0</v>
      </c>
      <c r="G47" s="5"/>
      <c r="H47" s="5">
        <v>45996.0</v>
      </c>
      <c r="I47" s="21">
        <f>IFERROR(__xludf.DUMMYFUNCTION("""COMPUTED_VALUE"""),1.0)</f>
        <v>1</v>
      </c>
      <c r="J47" s="20"/>
      <c r="K47" s="21" t="str">
        <f>IFERROR(__xludf.DUMMYFUNCTION("""COMPUTED_VALUE"""),"Si")</f>
        <v>Si</v>
      </c>
      <c r="L47" s="21" t="str">
        <f>IFERROR(__xludf.DUMMYFUNCTION("""COMPUTED_VALUE"""),"Si")</f>
        <v>Si</v>
      </c>
      <c r="M47" s="20" t="s">
        <v>36</v>
      </c>
      <c r="N47" s="20"/>
      <c r="O47" s="20">
        <v>194.0</v>
      </c>
      <c r="P47" s="20">
        <v>0.0</v>
      </c>
      <c r="Q47" s="20">
        <v>194.0</v>
      </c>
      <c r="R47" s="20">
        <v>97.0</v>
      </c>
      <c r="S47" s="20">
        <v>97.0</v>
      </c>
      <c r="T47" s="20"/>
      <c r="U47" s="20"/>
      <c r="V47" s="20"/>
      <c r="W47" s="21">
        <f>IFERROR(__xludf.DUMMYFUNCTION("""COMPUTED_VALUE"""),9.8931263E8)</f>
        <v>989312630</v>
      </c>
      <c r="X47" s="21" t="str">
        <f>IFERROR(__xludf.DUMMYFUNCTION("""COMPUTED_VALUE"""),"Victor cabezas mora 127 surco, recibe Segundo arce cel 910788235")</f>
        <v>Victor cabezas mora 127 surco, recibe Segundo arce cel 910788235</v>
      </c>
      <c r="Y47" s="21" t="str">
        <f>IFERROR(__xludf.DUMMYFUNCTION("""COMPUTED_VALUE"""),"No")</f>
        <v>No</v>
      </c>
      <c r="Z47" s="21" t="str">
        <f>IFERROR(__xludf.DUMMYFUNCTION("""COMPUTED_VALUE"""),"Para mi")</f>
        <v>Para mi</v>
      </c>
      <c r="AA47" s="20"/>
      <c r="AB47" s="22" t="str">
        <f>IFERROR(__xludf.DUMMYFUNCTION("""COMPUTED_VALUE"""),"Sandra")</f>
        <v>Sandra</v>
      </c>
      <c r="AC47" s="20" t="s">
        <v>124</v>
      </c>
      <c r="AD47" s="21" t="str">
        <f>IFERROR(__xludf.DUMMYFUNCTION("""COMPUTED_VALUE"""),"Parte de adelante imagen y nombre Baloo, en la parte de atras texto corto ""Fuiste luz en mi vida, ahora eres mi estrella"" y añadi huellita adicional")</f>
        <v>Parte de adelante imagen y nombre Baloo, en la parte de atras texto corto "Fuiste luz en mi vida, ahora eres mi estrella" y añadi huellita adicional</v>
      </c>
      <c r="AE47" s="21" t="str">
        <f>IFERROR(__xludf.DUMMYFUNCTION("""COMPUTED_VALUE"""),"La mascotita ya está en el arcoiris 🌈🙏")</f>
        <v>La mascotita ya está en el arcoiris 🌈🙏</v>
      </c>
      <c r="AF47" s="20"/>
      <c r="AG47" s="20"/>
    </row>
    <row r="48" ht="15.75" customHeight="1">
      <c r="A48" s="20" t="s">
        <v>125</v>
      </c>
      <c r="B48" s="20" t="s">
        <v>33</v>
      </c>
      <c r="C48" s="21" t="str">
        <f>IFERROR(__xludf.DUMMYFUNCTION("""COMPUTED_VALUE"""),"FATIMA LUCIA BULEJE CABRERA ")</f>
        <v>FATIMA LUCIA BULEJE CABRERA </v>
      </c>
      <c r="D48" s="20"/>
      <c r="E48" s="21" t="str">
        <f>IFERROR(__xludf.DUMMYFUNCTION("""COMPUTED_VALUE"""),"LLAVERO EN ACERO EN 3 CM ")</f>
        <v>LLAVERO EN ACERO EN 3 CM </v>
      </c>
      <c r="F48" s="23">
        <v>45992.0</v>
      </c>
      <c r="G48" s="5"/>
      <c r="H48" s="5">
        <v>45996.0</v>
      </c>
      <c r="I48" s="21">
        <f>IFERROR(__xludf.DUMMYFUNCTION("""COMPUTED_VALUE"""),1.0)</f>
        <v>1</v>
      </c>
      <c r="J48" s="20"/>
      <c r="K48" s="21" t="str">
        <f>IFERROR(__xludf.DUMMYFUNCTION("""COMPUTED_VALUE"""),"KIRA ")</f>
        <v>KIRA </v>
      </c>
      <c r="L48" s="21" t="str">
        <f>IFERROR(__xludf.DUMMYFUNCTION("""COMPUTED_VALUE"""),"X")</f>
        <v>X</v>
      </c>
      <c r="M48" s="20" t="s">
        <v>36</v>
      </c>
      <c r="N48" s="20"/>
      <c r="O48" s="20">
        <v>79.0</v>
      </c>
      <c r="P48" s="20">
        <v>0.0</v>
      </c>
      <c r="Q48" s="20">
        <v>79.0</v>
      </c>
      <c r="R48" s="20">
        <v>39.5</v>
      </c>
      <c r="S48" s="20">
        <v>39.5</v>
      </c>
      <c r="T48" s="20"/>
      <c r="U48" s="20"/>
      <c r="V48" s="20"/>
      <c r="W48" s="21">
        <f>IFERROR(__xludf.DUMMYFUNCTION("""COMPUTED_VALUE"""),9.14002082E8)</f>
        <v>914002082</v>
      </c>
      <c r="X48" s="21" t="str">
        <f>IFERROR(__xludf.DUMMYFUNCTION("""COMPUTED_VALUE"""),"X")</f>
        <v>X</v>
      </c>
      <c r="Y48" s="21" t="str">
        <f>IFERROR(__xludf.DUMMYFUNCTION("""COMPUTED_VALUE"""),"FATIMA  LUCIA BULEJE CABRERA CEL 914002082 DNI 72219383, SHALON DE JJ ELIAS ICA ICA ICA ")</f>
        <v>FATIMA  LUCIA BULEJE CABRERA CEL 914002082 DNI 72219383, SHALON DE JJ ELIAS ICA ICA ICA </v>
      </c>
      <c r="Z48" s="21" t="str">
        <f>IFERROR(__xludf.DUMMYFUNCTION("""COMPUTED_VALUE"""),"ENAMORADO ")</f>
        <v>ENAMORADO </v>
      </c>
      <c r="AA48" s="20"/>
      <c r="AB48" s="22" t="str">
        <f>IFERROR(__xludf.DUMMYFUNCTION("""COMPUTED_VALUE"""),"Sandra")</f>
        <v>Sandra</v>
      </c>
      <c r="AC48" s="20" t="s">
        <v>126</v>
      </c>
      <c r="AD48" s="21" t="str">
        <f>IFERROR(__xludf.DUMMYFUNCTION("""COMPUTED_VALUE"""),"01 LLAVERO EN ACERO NOMBRE KIRA ")</f>
        <v>01 LLAVERO EN ACERO NOMBRE KIRA </v>
      </c>
      <c r="AE48" s="21" t="str">
        <f>IFERROR(__xludf.DUMMYFUNCTION("""COMPUTED_VALUE"""),"La mascotita está contigo  🐾🎉")</f>
        <v>La mascotita está contigo  🐾🎉</v>
      </c>
      <c r="AF48" s="20"/>
      <c r="AG48" s="20"/>
    </row>
    <row r="49" ht="15.75" customHeight="1">
      <c r="A49" s="20" t="s">
        <v>127</v>
      </c>
      <c r="B49" s="20" t="s">
        <v>33</v>
      </c>
      <c r="C49" s="21" t="str">
        <f>IFERROR(__xludf.DUMMYFUNCTION("""COMPUTED_VALUE"""),"Arantxa Ximena Zamudio Diaz")</f>
        <v>Arantxa Ximena Zamudio Diaz</v>
      </c>
      <c r="D49" s="20"/>
      <c r="E49" s="21" t="str">
        <f>IFERROR(__xludf.DUMMYFUNCTION("""COMPUTED_VALUE"""),"P02 Pulsera dije circular 2cm con huecos s/149")</f>
        <v>P02 Pulsera dije circular 2cm con huecos s/149</v>
      </c>
      <c r="F49" s="23">
        <v>45992.0</v>
      </c>
      <c r="G49" s="5"/>
      <c r="H49" s="5">
        <v>45996.0</v>
      </c>
      <c r="I49" s="21">
        <f>IFERROR(__xludf.DUMMYFUNCTION("""COMPUTED_VALUE"""),1.0)</f>
        <v>1</v>
      </c>
      <c r="J49" s="20"/>
      <c r="K49" s="21" t="str">
        <f>IFERROR(__xludf.DUMMYFUNCTION("""COMPUTED_VALUE"""),"Si, el nombre Friskies y su cara ")</f>
        <v>Si, el nombre Friskies y su cara </v>
      </c>
      <c r="L49" s="21" t="str">
        <f>IFERROR(__xludf.DUMMYFUNCTION("""COMPUTED_VALUE"""),"No")</f>
        <v>No</v>
      </c>
      <c r="M49" s="20" t="s">
        <v>36</v>
      </c>
      <c r="N49" s="20"/>
      <c r="O49" s="20">
        <v>134.0</v>
      </c>
      <c r="P49" s="20">
        <v>12.0</v>
      </c>
      <c r="Q49" s="20">
        <v>146.0</v>
      </c>
      <c r="R49" s="20">
        <v>72.0</v>
      </c>
      <c r="S49" s="20">
        <v>74.0</v>
      </c>
      <c r="T49" s="20"/>
      <c r="U49" s="20"/>
      <c r="V49" s="20"/>
      <c r="W49" s="21">
        <f>IFERROR(__xludf.DUMMYFUNCTION("""COMPUTED_VALUE"""),9.8712816E8)</f>
        <v>987128160</v>
      </c>
      <c r="X49" s="21" t="str">
        <f>IFERROR(__xludf.DUMMYFUNCTION("""COMPUTED_VALUE"""),"Calle renoir 273 dpto 302 san Borja - Arantxa Zamudio 987128160")</f>
        <v>Calle renoir 273 dpto 302 san Borja - Arantxa Zamudio 987128160</v>
      </c>
      <c r="Y49" s="21" t="str">
        <f>IFERROR(__xludf.DUMMYFUNCTION("""COMPUTED_VALUE"""),"-")</f>
        <v>-</v>
      </c>
      <c r="Z49" s="21" t="str">
        <f>IFERROR(__xludf.DUMMYFUNCTION("""COMPUTED_VALUE"""),"Para mi")</f>
        <v>Para mi</v>
      </c>
      <c r="AA49" s="20"/>
      <c r="AB49" s="22" t="str">
        <f>IFERROR(__xludf.DUMMYFUNCTION("""COMPUTED_VALUE"""),"Sandra")</f>
        <v>Sandra</v>
      </c>
      <c r="AC49" s="20" t="s">
        <v>128</v>
      </c>
      <c r="AD49" s="21" t="str">
        <f>IFERROR(__xludf.DUMMYFUNCTION("""COMPUTED_VALUE"""),"No tengo observaciones ")</f>
        <v>No tengo observaciones </v>
      </c>
      <c r="AE49" s="21" t="str">
        <f>IFERROR(__xludf.DUMMYFUNCTION("""COMPUTED_VALUE"""),"La mascotita ya está en el arcoiris 🌈🙏")</f>
        <v>La mascotita ya está en el arcoiris 🌈🙏</v>
      </c>
      <c r="AF49" s="20"/>
      <c r="AG49" s="20"/>
    </row>
    <row r="50" ht="15.75" customHeight="1">
      <c r="A50" s="20" t="s">
        <v>129</v>
      </c>
      <c r="B50" s="20" t="s">
        <v>33</v>
      </c>
      <c r="C50" s="21" t="str">
        <f>IFERROR(__xludf.DUMMYFUNCTION("""COMPUTED_VALUE"""),"Pedro Luis Guardia Campos")</f>
        <v>Pedro Luis Guardia Campos</v>
      </c>
      <c r="D50" s="20"/>
      <c r="E50" s="21" t="str">
        <f>IFERROR(__xludf.DUMMYFUNCTION("""COMPUTED_VALUE"""),"P01 Pulsera dije circular 2cm colgante  s/149")</f>
        <v>P01 Pulsera dije circular 2cm colgante  s/149</v>
      </c>
      <c r="F50" s="23">
        <v>45992.0</v>
      </c>
      <c r="G50" s="5"/>
      <c r="H50" s="5">
        <v>45996.0</v>
      </c>
      <c r="I50" s="21">
        <f>IFERROR(__xludf.DUMMYFUNCTION("""COMPUTED_VALUE"""),1.0)</f>
        <v>1</v>
      </c>
      <c r="J50" s="20"/>
      <c r="K50" s="21" t="str">
        <f>IFERROR(__xludf.DUMMYFUNCTION("""COMPUTED_VALUE"""),"Si")</f>
        <v>Si</v>
      </c>
      <c r="L50" s="21" t="str">
        <f>IFERROR(__xludf.DUMMYFUNCTION("""COMPUTED_VALUE"""),"No")</f>
        <v>No</v>
      </c>
      <c r="M50" s="20" t="s">
        <v>36</v>
      </c>
      <c r="N50" s="20"/>
      <c r="O50" s="20">
        <v>145.0</v>
      </c>
      <c r="P50" s="20">
        <v>12.0</v>
      </c>
      <c r="Q50" s="20">
        <v>157.0</v>
      </c>
      <c r="R50" s="20">
        <v>151.0</v>
      </c>
      <c r="S50" s="20">
        <v>151.0</v>
      </c>
      <c r="T50" s="20"/>
      <c r="U50" s="20"/>
      <c r="V50" s="20"/>
      <c r="W50" s="21">
        <f>IFERROR(__xludf.DUMMYFUNCTION("""COMPUTED_VALUE"""),9.49721185E8)</f>
        <v>949721185</v>
      </c>
      <c r="X50" s="21" t="str">
        <f>IFERROR(__xludf.DUMMYFUNCTION("""COMPUTED_VALUE"""),"No")</f>
        <v>No</v>
      </c>
      <c r="Y50" s="21" t="str">
        <f>IFERROR(__xludf.DUMMYFUNCTION("""COMPUTED_VALUE"""),"Pedro Luis Guardia Campos, 949721185, 43517874. Agencia: Av Universitaria 7241 Comas")</f>
        <v>Pedro Luis Guardia Campos, 949721185, 43517874. Agencia: Av Universitaria 7241 Comas</v>
      </c>
      <c r="Z50" s="21" t="str">
        <f>IFERROR(__xludf.DUMMYFUNCTION("""COMPUTED_VALUE"""),"Para mi")</f>
        <v>Para mi</v>
      </c>
      <c r="AA50" s="20"/>
      <c r="AB50" s="22" t="str">
        <f>IFERROR(__xludf.DUMMYFUNCTION("""COMPUTED_VALUE"""),"Sandra")</f>
        <v>Sandra</v>
      </c>
      <c r="AC50" s="20" t="s">
        <v>130</v>
      </c>
      <c r="AD50" s="21" t="str">
        <f>IFERROR(__xludf.DUMMYFUNCTION("""COMPUTED_VALUE"""),"Sin observaciones ")</f>
        <v>Sin observaciones </v>
      </c>
      <c r="AE50" s="21" t="str">
        <f>IFERROR(__xludf.DUMMYFUNCTION("""COMPUTED_VALUE"""),"La mascotita ya está en el arcoiris 🌈🙏")</f>
        <v>La mascotita ya está en el arcoiris 🌈🙏</v>
      </c>
      <c r="AF50" s="20"/>
      <c r="AG50" s="20"/>
    </row>
    <row r="51" ht="15.75" customHeight="1">
      <c r="A51" s="20" t="s">
        <v>131</v>
      </c>
      <c r="B51" s="20" t="s">
        <v>33</v>
      </c>
      <c r="C51" s="21" t="str">
        <f>IFERROR(__xludf.DUMMYFUNCTION("""COMPUTED_VALUE"""),"Pedro Luis Guardia Campos")</f>
        <v>Pedro Luis Guardia Campos</v>
      </c>
      <c r="D51" s="20"/>
      <c r="E51" s="21" t="str">
        <f>IFERROR(__xludf.DUMMYFUNCTION("""COMPUTED_VALUE"""),"P02 Pulsera dije circular 2cm con huecos s/149")</f>
        <v>P02 Pulsera dije circular 2cm con huecos s/149</v>
      </c>
      <c r="F51" s="23">
        <v>45992.0</v>
      </c>
      <c r="G51" s="5"/>
      <c r="H51" s="5">
        <v>45996.0</v>
      </c>
      <c r="I51" s="21">
        <f>IFERROR(__xludf.DUMMYFUNCTION("""COMPUTED_VALUE"""),1.0)</f>
        <v>1</v>
      </c>
      <c r="J51" s="20"/>
      <c r="K51" s="21" t="str">
        <f>IFERROR(__xludf.DUMMYFUNCTION("""COMPUTED_VALUE"""),"si")</f>
        <v>si</v>
      </c>
      <c r="L51" s="21" t="str">
        <f>IFERROR(__xludf.DUMMYFUNCTION("""COMPUTED_VALUE"""),"No")</f>
        <v>No</v>
      </c>
      <c r="M51" s="20" t="s">
        <v>36</v>
      </c>
      <c r="N51" s="20"/>
      <c r="O51" s="20">
        <v>145.0</v>
      </c>
      <c r="P51" s="20">
        <v>0.0</v>
      </c>
      <c r="Q51" s="20">
        <v>145.0</v>
      </c>
      <c r="R51" s="20">
        <v>0.0</v>
      </c>
      <c r="S51" s="20">
        <v>145.0</v>
      </c>
      <c r="T51" s="20"/>
      <c r="U51" s="20"/>
      <c r="V51" s="20"/>
      <c r="W51" s="21">
        <f>IFERROR(__xludf.DUMMYFUNCTION("""COMPUTED_VALUE"""),9.49721185E8)</f>
        <v>949721185</v>
      </c>
      <c r="X51" s="21" t="str">
        <f>IFERROR(__xludf.DUMMYFUNCTION("""COMPUTED_VALUE"""),"no")</f>
        <v>no</v>
      </c>
      <c r="Y51" s="21" t="str">
        <f>IFERROR(__xludf.DUMMYFUNCTION("""COMPUTED_VALUE"""),"Pedro Luis Guardia Campos, 949721185, 43517874. Agencia: Av Universitaria 7241 Comas")</f>
        <v>Pedro Luis Guardia Campos, 949721185, 43517874. Agencia: Av Universitaria 7241 Comas</v>
      </c>
      <c r="Z51" s="21" t="str">
        <f>IFERROR(__xludf.DUMMYFUNCTION("""COMPUTED_VALUE"""),"Para mi")</f>
        <v>Para mi</v>
      </c>
      <c r="AA51" s="20"/>
      <c r="AB51" s="22" t="str">
        <f>IFERROR(__xludf.DUMMYFUNCTION("""COMPUTED_VALUE"""),"Sandra")</f>
        <v>Sandra</v>
      </c>
      <c r="AC51" s="20" t="s">
        <v>132</v>
      </c>
      <c r="AD51" s="21" t="str">
        <f>IFERROR(__xludf.DUMMYFUNCTION("""COMPUTED_VALUE"""),"Sin observaciones")</f>
        <v>Sin observaciones</v>
      </c>
      <c r="AE51" s="21" t="str">
        <f>IFERROR(__xludf.DUMMYFUNCTION("""COMPUTED_VALUE"""),"La mascotita está contigo  🐾🎉")</f>
        <v>La mascotita está contigo  🐾🎉</v>
      </c>
      <c r="AF51" s="20"/>
      <c r="AG51" s="20"/>
    </row>
    <row r="52" ht="15.75" customHeight="1">
      <c r="A52" s="20" t="s">
        <v>133</v>
      </c>
      <c r="B52" s="20" t="s">
        <v>33</v>
      </c>
      <c r="C52" s="21" t="str">
        <f>IFERROR(__xludf.DUMMYFUNCTION("""COMPUTED_VALUE"""),"Trilce Velásquez Alvarez")</f>
        <v>Trilce Velásquez Alvarez</v>
      </c>
      <c r="D52" s="20"/>
      <c r="E52" s="21" t="str">
        <f>IFERROR(__xludf.DUMMYFUNCTION("""COMPUTED_VALUE"""),"Reparación de Huellita y Pulsera para Dije")</f>
        <v>Reparación de Huellita y Pulsera para Dije</v>
      </c>
      <c r="F52" s="23">
        <v>45992.0</v>
      </c>
      <c r="G52" s="5"/>
      <c r="H52" s="5">
        <v>45997.0</v>
      </c>
      <c r="I52" s="21">
        <f>IFERROR(__xludf.DUMMYFUNCTION("""COMPUTED_VALUE"""),2.0)</f>
        <v>2</v>
      </c>
      <c r="J52" s="20"/>
      <c r="K52" s="21" t="str">
        <f>IFERROR(__xludf.DUMMYFUNCTION("""COMPUTED_VALUE"""),"No")</f>
        <v>No</v>
      </c>
      <c r="L52" s="21" t="str">
        <f>IFERROR(__xludf.DUMMYFUNCTION("""COMPUTED_VALUE"""),"No")</f>
        <v>No</v>
      </c>
      <c r="M52" s="20"/>
      <c r="N52" s="20"/>
      <c r="O52" s="20">
        <v>55.0</v>
      </c>
      <c r="P52" s="20">
        <v>0.0</v>
      </c>
      <c r="Q52" s="20">
        <v>55.0</v>
      </c>
      <c r="R52" s="20">
        <v>0.0</v>
      </c>
      <c r="S52" s="20">
        <v>55.0</v>
      </c>
      <c r="T52" s="20"/>
      <c r="U52" s="20"/>
      <c r="V52" s="20"/>
      <c r="W52" s="21">
        <f>IFERROR(__xludf.DUMMYFUNCTION("""COMPUTED_VALUE"""),9.9722228E8)</f>
        <v>997222280</v>
      </c>
      <c r="X52" s="21" t="str">
        <f>IFERROR(__xludf.DUMMYFUNCTION("""COMPUTED_VALUE"""),"Yo mandaré a recoger")</f>
        <v>Yo mandaré a recoger</v>
      </c>
      <c r="Y52" s="21" t="str">
        <f>IFERROR(__xludf.DUMMYFUNCTION("""COMPUTED_VALUE"""),"Yo mandaré a recoger")</f>
        <v>Yo mandaré a recoger</v>
      </c>
      <c r="Z52" s="21" t="str">
        <f>IFERROR(__xludf.DUMMYFUNCTION("""COMPUTED_VALUE"""),"Para mi")</f>
        <v>Para mi</v>
      </c>
      <c r="AA52" s="20"/>
      <c r="AB52" s="22" t="str">
        <f>IFERROR(__xludf.DUMMYFUNCTION("""COMPUTED_VALUE"""),"Sandra")</f>
        <v>Sandra</v>
      </c>
      <c r="AC52" s="20" t="s">
        <v>134</v>
      </c>
      <c r="AD52" s="21" t="str">
        <f>IFERROR(__xludf.DUMMYFUNCTION("""COMPUTED_VALUE"""),"Sorry x el estado de la huellita jaja, llevaba buen tiempo sin uso")</f>
        <v>Sorry x el estado de la huellita jaja, llevaba buen tiempo sin uso</v>
      </c>
      <c r="AE52" s="21" t="str">
        <f>IFERROR(__xludf.DUMMYFUNCTION("""COMPUTED_VALUE"""),"La mascotita está contigo  🐾🎉")</f>
        <v>La mascotita está contigo  🐾🎉</v>
      </c>
      <c r="AF52" s="20"/>
      <c r="AG52" s="20"/>
    </row>
    <row r="53" ht="15.75" customHeight="1">
      <c r="A53" s="20" t="s">
        <v>135</v>
      </c>
      <c r="B53" s="20" t="s">
        <v>33</v>
      </c>
      <c r="C53" s="21" t="str">
        <f>IFERROR(__xludf.DUMMYFUNCTION("""COMPUTED_VALUE"""),"Lucas Boutique")</f>
        <v>Lucas Boutique</v>
      </c>
      <c r="D53" s="20"/>
      <c r="E53" s="21" t="str">
        <f>IFERROR(__xludf.DUMMYFUNCTION("""COMPUTED_VALUE"""),"Pulsera con dije colgante en acero")</f>
        <v>Pulsera con dije colgante en acero</v>
      </c>
      <c r="F53" s="23">
        <v>45988.0</v>
      </c>
      <c r="G53" s="5"/>
      <c r="H53" s="5">
        <v>45996.0</v>
      </c>
      <c r="I53" s="21">
        <f>IFERROR(__xludf.DUMMYFUNCTION("""COMPUTED_VALUE"""),1.0)</f>
        <v>1</v>
      </c>
      <c r="J53" s="20"/>
      <c r="K53" s="21" t="str">
        <f>IFERROR(__xludf.DUMMYFUNCTION("""COMPUTED_VALUE"""),"falta preguntar el nombre")</f>
        <v>falta preguntar el nombre</v>
      </c>
      <c r="L53" s="21" t="str">
        <f>IFERROR(__xludf.DUMMYFUNCTION("""COMPUTED_VALUE"""),"no")</f>
        <v>no</v>
      </c>
      <c r="M53" s="20" t="s">
        <v>36</v>
      </c>
      <c r="N53" s="20"/>
      <c r="O53" s="20">
        <v>60.0</v>
      </c>
      <c r="P53" s="20">
        <v>0.0</v>
      </c>
      <c r="Q53" s="20">
        <v>60.0</v>
      </c>
      <c r="R53" s="20">
        <v>0.0</v>
      </c>
      <c r="S53" s="20">
        <v>60.0</v>
      </c>
      <c r="T53" s="20"/>
      <c r="U53" s="20"/>
      <c r="V53" s="20"/>
      <c r="W53" s="21">
        <f>IFERROR(__xludf.DUMMYFUNCTION("""COMPUTED_VALUE"""),1.0)</f>
        <v>1</v>
      </c>
      <c r="X53" s="21" t="str">
        <f>IFERROR(__xludf.DUMMYFUNCTION("""COMPUTED_VALUE"""),"no")</f>
        <v>no</v>
      </c>
      <c r="Y53" s="21" t="str">
        <f>IFERROR(__xludf.DUMMYFUNCTION("""COMPUTED_VALUE"""),"no")</f>
        <v>no</v>
      </c>
      <c r="Z53" s="21" t="str">
        <f>IFERROR(__xludf.DUMMYFUNCTION("""COMPUTED_VALUE"""),"Para mi, ")</f>
        <v>Para mi, </v>
      </c>
      <c r="AA53" s="20"/>
      <c r="AB53" s="22" t="str">
        <f>IFERROR(__xludf.DUMMYFUNCTION("""COMPUTED_VALUE"""),"Sandra")</f>
        <v>Sandra</v>
      </c>
      <c r="AC53" s="20"/>
      <c r="AD53" s="21" t="str">
        <f>IFERROR(__xludf.DUMMYFUNCTION("""COMPUTED_VALUE"""),"x")</f>
        <v>x</v>
      </c>
      <c r="AE53" s="21" t="str">
        <f>IFERROR(__xludf.DUMMYFUNCTION("""COMPUTED_VALUE"""),"La mascotita está contigo  🐾🎉")</f>
        <v>La mascotita está contigo  🐾🎉</v>
      </c>
      <c r="AF53" s="20"/>
      <c r="AG53" s="20"/>
    </row>
    <row r="54" ht="15.75" customHeight="1">
      <c r="A54" s="20" t="s">
        <v>136</v>
      </c>
      <c r="B54" s="20" t="s">
        <v>33</v>
      </c>
      <c r="C54" s="21" t="str">
        <f>IFERROR(__xludf.DUMMYFUNCTION("""COMPUTED_VALUE"""),"Michelle")</f>
        <v>Michelle</v>
      </c>
      <c r="D54" s="20"/>
      <c r="E54" s="21" t="str">
        <f>IFERROR(__xludf.DUMMYFUNCTION("""COMPUTED_VALUE"""),"P07 Pulsera con hilo negro dije circular s/149")</f>
        <v>P07 Pulsera con hilo negro dije circular s/149</v>
      </c>
      <c r="F54" s="23">
        <v>45990.0</v>
      </c>
      <c r="G54" s="5"/>
      <c r="H54" s="5">
        <v>45997.0</v>
      </c>
      <c r="I54" s="21">
        <f>IFERROR(__xludf.DUMMYFUNCTION("""COMPUTED_VALUE"""),1.0)</f>
        <v>1</v>
      </c>
      <c r="J54" s="20"/>
      <c r="K54" s="21" t="str">
        <f>IFERROR(__xludf.DUMMYFUNCTION("""COMPUTED_VALUE"""),"Zeus")</f>
        <v>Zeus</v>
      </c>
      <c r="L54" s="21" t="str">
        <f>IFERROR(__xludf.DUMMYFUNCTION("""COMPUTED_VALUE"""),"no")</f>
        <v>no</v>
      </c>
      <c r="M54" s="20"/>
      <c r="N54" s="20"/>
      <c r="O54" s="20">
        <v>126.0</v>
      </c>
      <c r="P54" s="20">
        <v>0.0</v>
      </c>
      <c r="Q54" s="20">
        <v>126.0</v>
      </c>
      <c r="R54" s="20">
        <v>63.0</v>
      </c>
      <c r="S54" s="20">
        <v>63.0</v>
      </c>
      <c r="T54" s="20"/>
      <c r="U54" s="20"/>
      <c r="V54" s="20"/>
      <c r="W54" s="21">
        <f>IFERROR(__xludf.DUMMYFUNCTION("""COMPUTED_VALUE"""),9.62363613E8)</f>
        <v>962363613</v>
      </c>
      <c r="X54" s="21" t="str">
        <f>IFERROR(__xludf.DUMMYFUNCTION("""COMPUTED_VALUE"""),"no")</f>
        <v>no</v>
      </c>
      <c r="Y54" s="21" t="str">
        <f>IFERROR(__xludf.DUMMYFUNCTION("""COMPUTED_VALUE"""),"no")</f>
        <v>no</v>
      </c>
      <c r="Z54" s="21" t="str">
        <f>IFERROR(__xludf.DUMMYFUNCTION("""COMPUTED_VALUE"""),"Para mi")</f>
        <v>Para mi</v>
      </c>
      <c r="AA54" s="20"/>
      <c r="AB54" s="22" t="str">
        <f>IFERROR(__xludf.DUMMYFUNCTION("""COMPUTED_VALUE"""),"Sandra")</f>
        <v>Sandra</v>
      </c>
      <c r="AC54" s="20"/>
      <c r="AD54" s="21" t="str">
        <f>IFERROR(__xludf.DUMMYFUNCTION("""COMPUTED_VALUE"""),"no")</f>
        <v>no</v>
      </c>
      <c r="AE54" s="21" t="str">
        <f>IFERROR(__xludf.DUMMYFUNCTION("""COMPUTED_VALUE"""),"La mascotita está contigo  🐾🎉")</f>
        <v>La mascotita está contigo  🐾🎉</v>
      </c>
      <c r="AF54" s="20"/>
      <c r="AG54" s="20"/>
    </row>
    <row r="55" ht="15.75" customHeight="1">
      <c r="A55" s="20" t="s">
        <v>137</v>
      </c>
      <c r="B55" s="20" t="s">
        <v>33</v>
      </c>
      <c r="C55" s="21" t="str">
        <f>IFERROR(__xludf.DUMMYFUNCTION("""COMPUTED_VALUE"""),"Sandra")</f>
        <v>Sandra</v>
      </c>
      <c r="D55" s="20"/>
      <c r="E55" s="21" t="str">
        <f>IFERROR(__xludf.DUMMYFUNCTION("""COMPUTED_VALUE"""),"dije con camara fotografica ")</f>
        <v>dije con camara fotografica </v>
      </c>
      <c r="F55" s="23">
        <v>45992.0</v>
      </c>
      <c r="G55" s="5"/>
      <c r="H55" s="5">
        <v>46000.0</v>
      </c>
      <c r="I55" s="21">
        <f>IFERROR(__xludf.DUMMYFUNCTION("""COMPUTED_VALUE"""),1.0)</f>
        <v>1</v>
      </c>
      <c r="J55" s="20"/>
      <c r="K55" s="21" t="str">
        <f>IFERROR(__xludf.DUMMYFUNCTION("""COMPUTED_VALUE"""),"no")</f>
        <v>no</v>
      </c>
      <c r="L55" s="21" t="str">
        <f>IFERROR(__xludf.DUMMYFUNCTION("""COMPUTED_VALUE"""),"no")</f>
        <v>no</v>
      </c>
      <c r="M55" s="20"/>
      <c r="N55" s="20"/>
      <c r="O55" s="20">
        <v>0.0</v>
      </c>
      <c r="P55" s="20">
        <v>0.0</v>
      </c>
      <c r="Q55" s="20">
        <v>1.0</v>
      </c>
      <c r="R55" s="20">
        <v>0.0</v>
      </c>
      <c r="S55" s="20">
        <v>1.0</v>
      </c>
      <c r="T55" s="20"/>
      <c r="U55" s="20"/>
      <c r="V55" s="20"/>
      <c r="W55" s="21">
        <f>IFERROR(__xludf.DUMMYFUNCTION("""COMPUTED_VALUE"""),1.0)</f>
        <v>1</v>
      </c>
      <c r="X55" s="21" t="str">
        <f>IFERROR(__xludf.DUMMYFUNCTION("""COMPUTED_VALUE"""),"no")</f>
        <v>no</v>
      </c>
      <c r="Y55" s="21" t="str">
        <f>IFERROR(__xludf.DUMMYFUNCTION("""COMPUTED_VALUE"""),"no")</f>
        <v>no</v>
      </c>
      <c r="Z55" s="21" t="str">
        <f>IFERROR(__xludf.DUMMYFUNCTION("""COMPUTED_VALUE"""),"Para mi")</f>
        <v>Para mi</v>
      </c>
      <c r="AA55" s="20"/>
      <c r="AB55" s="22" t="str">
        <f>IFERROR(__xludf.DUMMYFUNCTION("""COMPUTED_VALUE"""),"Sandra")</f>
        <v>Sandra</v>
      </c>
      <c r="AC55" s="20" t="s">
        <v>138</v>
      </c>
      <c r="AD55" s="21" t="str">
        <f>IFERROR(__xludf.DUMMYFUNCTION("""COMPUTED_VALUE"""),"n")</f>
        <v>n</v>
      </c>
      <c r="AE55" s="21" t="str">
        <f>IFERROR(__xludf.DUMMYFUNCTION("""COMPUTED_VALUE"""),"La mascotita está contigo  🐾🎉")</f>
        <v>La mascotita está contigo  🐾🎉</v>
      </c>
      <c r="AF55" s="20"/>
      <c r="AG55" s="20"/>
    </row>
    <row r="56" ht="15.75" customHeight="1">
      <c r="A56" s="20" t="s">
        <v>139</v>
      </c>
      <c r="B56" s="20" t="s">
        <v>33</v>
      </c>
      <c r="C56" s="21" t="str">
        <f>IFERROR(__xludf.DUMMYFUNCTION("""COMPUTED_VALUE"""),"Jenifer Mendoza Moreno ")</f>
        <v>Jenifer Mendoza Moreno </v>
      </c>
      <c r="D56" s="20"/>
      <c r="E56" s="21" t="str">
        <f>IFERROR(__xludf.DUMMYFUNCTION("""COMPUTED_VALUE"""),"Collar corazón ")</f>
        <v>Collar corazón </v>
      </c>
      <c r="F56" s="23">
        <v>45992.0</v>
      </c>
      <c r="G56" s="5"/>
      <c r="H56" s="5">
        <v>45997.0</v>
      </c>
      <c r="I56" s="21">
        <f>IFERROR(__xludf.DUMMYFUNCTION("""COMPUTED_VALUE"""),1.0)</f>
        <v>1</v>
      </c>
      <c r="J56" s="20"/>
      <c r="K56" s="21" t="str">
        <f>IFERROR(__xludf.DUMMYFUNCTION("""COMPUTED_VALUE"""),"Si")</f>
        <v>Si</v>
      </c>
      <c r="L56" s="21" t="str">
        <f>IFERROR(__xludf.DUMMYFUNCTION("""COMPUTED_VALUE"""),"No ")</f>
        <v>No </v>
      </c>
      <c r="M56" s="20" t="s">
        <v>36</v>
      </c>
      <c r="N56" s="20"/>
      <c r="O56" s="20">
        <v>152.0</v>
      </c>
      <c r="P56" s="20">
        <v>12.0</v>
      </c>
      <c r="Q56" s="20">
        <v>164.0</v>
      </c>
      <c r="R56" s="20">
        <v>100.0</v>
      </c>
      <c r="S56" s="20">
        <v>64.0</v>
      </c>
      <c r="T56" s="20"/>
      <c r="U56" s="20"/>
      <c r="V56" s="20"/>
      <c r="W56" s="21">
        <f>IFERROR(__xludf.DUMMYFUNCTION("""COMPUTED_VALUE"""),9.20673596E8)</f>
        <v>920673596</v>
      </c>
      <c r="X56" s="21" t="str">
        <f>IFERROR(__xludf.DUMMYFUNCTION("""COMPUTED_VALUE"""),"Jr. Aldebaran 420, Dpto. T302, Santiago de Surco / Jenifer Mendoza / 920673596")</f>
        <v>Jr. Aldebaran 420, Dpto. T302, Santiago de Surco / Jenifer Mendoza / 920673596</v>
      </c>
      <c r="Y56" s="21" t="str">
        <f>IFERROR(__xludf.DUMMYFUNCTION("""COMPUTED_VALUE"""),"-")</f>
        <v>-</v>
      </c>
      <c r="Z56" s="21" t="str">
        <f>IFERROR(__xludf.DUMMYFUNCTION("""COMPUTED_VALUE"""),"Para mi")</f>
        <v>Para mi</v>
      </c>
      <c r="AA56" s="20"/>
      <c r="AB56" s="22" t="str">
        <f>IFERROR(__xludf.DUMMYFUNCTION("""COMPUTED_VALUE"""),"Sandra")</f>
        <v>Sandra</v>
      </c>
      <c r="AC56" s="20" t="s">
        <v>140</v>
      </c>
      <c r="AD56" s="21" t="str">
        <f>IFERROR(__xludf.DUMMYFUNCTION("""COMPUTED_VALUE"""),"Ninguna ")</f>
        <v>Ninguna </v>
      </c>
      <c r="AE56" s="21" t="str">
        <f>IFERROR(__xludf.DUMMYFUNCTION("""COMPUTED_VALUE"""),"La mascotita ya está en el arcoiris 🌈🙏")</f>
        <v>La mascotita ya está en el arcoiris 🌈🙏</v>
      </c>
      <c r="AF56" s="20"/>
      <c r="AG56" s="20"/>
    </row>
    <row r="57" ht="15.75" customHeight="1">
      <c r="A57" s="20" t="s">
        <v>141</v>
      </c>
      <c r="B57" s="20" t="s">
        <v>33</v>
      </c>
      <c r="C57" s="21" t="str">
        <f>IFERROR(__xludf.DUMMYFUNCTION("""COMPUTED_VALUE"""),"Milagros Valdez ")</f>
        <v>Milagros Valdez </v>
      </c>
      <c r="D57" s="20"/>
      <c r="E57" s="21" t="str">
        <f>IFERROR(__xludf.DUMMYFUNCTION("""COMPUTED_VALUE"""),"CL02 Collar dije circular 2cm s/169")</f>
        <v>CL02 Collar dije circular 2cm s/169</v>
      </c>
      <c r="F57" s="23">
        <v>45993.0</v>
      </c>
      <c r="G57" s="5"/>
      <c r="H57" s="5">
        <v>46001.0</v>
      </c>
      <c r="I57" s="21">
        <f>IFERROR(__xludf.DUMMYFUNCTION("""COMPUTED_VALUE"""),1.0)</f>
        <v>1</v>
      </c>
      <c r="J57" s="20"/>
      <c r="K57" s="21" t="str">
        <f>IFERROR(__xludf.DUMMYFUNCTION("""COMPUTED_VALUE"""),"Lucrecio")</f>
        <v>Lucrecio</v>
      </c>
      <c r="L57" s="21" t="str">
        <f>IFERROR(__xludf.DUMMYFUNCTION("""COMPUTED_VALUE"""),"I love you forever ")</f>
        <v>I love you forever </v>
      </c>
      <c r="M57" s="20"/>
      <c r="N57" s="20"/>
      <c r="O57" s="20">
        <v>154.0</v>
      </c>
      <c r="P57" s="20">
        <v>12.0</v>
      </c>
      <c r="Q57" s="20">
        <v>166.0</v>
      </c>
      <c r="R57" s="20">
        <v>0.0</v>
      </c>
      <c r="S57" s="20">
        <v>166.0</v>
      </c>
      <c r="T57" s="20"/>
      <c r="U57" s="20"/>
      <c r="V57" s="20"/>
      <c r="W57" s="21">
        <f>IFERROR(__xludf.DUMMYFUNCTION("""COMPUTED_VALUE"""),9.8757348E8)</f>
        <v>987573480</v>
      </c>
      <c r="X57" s="21" t="str">
        <f>IFERROR(__xludf.DUMMYFUNCTION("""COMPUTED_VALUE"""),"No")</f>
        <v>No</v>
      </c>
      <c r="Y57" s="21" t="str">
        <f>IFERROR(__xludf.DUMMYFUNCTION("""COMPUTED_VALUE"""),"No ")</f>
        <v>No </v>
      </c>
      <c r="Z57" s="21" t="str">
        <f>IFERROR(__xludf.DUMMYFUNCTION("""COMPUTED_VALUE"""),"Para mi")</f>
        <v>Para mi</v>
      </c>
      <c r="AA57" s="20"/>
      <c r="AB57" s="22" t="str">
        <f>IFERROR(__xludf.DUMMYFUNCTION("""COMPUTED_VALUE"""),"Sandra")</f>
        <v>Sandra</v>
      </c>
      <c r="AC57" s="20"/>
      <c r="AD57" s="21" t="str">
        <f>IFERROR(__xludf.DUMMYFUNCTION("""COMPUTED_VALUE"""),"Cañita de regalo por favor ")</f>
        <v>Cañita de regalo por favor </v>
      </c>
      <c r="AE57" s="21" t="str">
        <f>IFERROR(__xludf.DUMMYFUNCTION("""COMPUTED_VALUE"""),"La mascotita está contigo  🐾🎉")</f>
        <v>La mascotita está contigo  🐾🎉</v>
      </c>
      <c r="AF57" s="20"/>
      <c r="AG57" s="20"/>
    </row>
    <row r="58" ht="15.75" customHeight="1">
      <c r="A58" s="20" t="s">
        <v>142</v>
      </c>
      <c r="B58" s="20" t="s">
        <v>33</v>
      </c>
      <c r="C58" s="21" t="str">
        <f>IFERROR(__xludf.DUMMYFUNCTION("""COMPUTED_VALUE"""),"Carmen Marisela Zavala Cruz")</f>
        <v>Carmen Marisela Zavala Cruz</v>
      </c>
      <c r="D58" s="20"/>
      <c r="E58" s="21" t="str">
        <f>IFERROR(__xludf.DUMMYFUNCTION("""COMPUTED_VALUE"""),"P01 Pulsera dije circular 2cm colgante  s/149")</f>
        <v>P01 Pulsera dije circular 2cm colgante  s/149</v>
      </c>
      <c r="F58" s="23">
        <v>45994.0</v>
      </c>
      <c r="G58" s="5"/>
      <c r="H58" s="5">
        <v>46003.0</v>
      </c>
      <c r="I58" s="21" t="str">
        <f>IFERROR(__xludf.DUMMYFUNCTION("""COMPUTED_VALUE"""),"1 pulsera ")</f>
        <v>1 pulsera </v>
      </c>
      <c r="J58" s="20"/>
      <c r="K58" s="21" t="str">
        <f>IFERROR(__xludf.DUMMYFUNCTION("""COMPUTED_VALUE"""),"Si")</f>
        <v>Si</v>
      </c>
      <c r="L58" s="21" t="str">
        <f>IFERROR(__xludf.DUMMYFUNCTION("""COMPUTED_VALUE"""),"15/12/20 fecha q llegó a nuestras vidas ")</f>
        <v>15/12/20 fecha q llegó a nuestras vidas </v>
      </c>
      <c r="M58" s="20"/>
      <c r="N58" s="20"/>
      <c r="O58" s="20">
        <v>149.0</v>
      </c>
      <c r="P58" s="20">
        <v>12.0</v>
      </c>
      <c r="Q58" s="20">
        <v>161.0</v>
      </c>
      <c r="R58" s="20">
        <v>0.0</v>
      </c>
      <c r="S58" s="20">
        <v>161.0</v>
      </c>
      <c r="T58" s="20"/>
      <c r="U58" s="20"/>
      <c r="V58" s="20"/>
      <c r="W58" s="21">
        <f>IFERROR(__xludf.DUMMYFUNCTION("""COMPUTED_VALUE"""),9.40173275E8)</f>
        <v>940173275</v>
      </c>
      <c r="X58" s="21" t="str">
        <f>IFERROR(__xludf.DUMMYFUNCTION("""COMPUTED_VALUE"""),"Calle Los Girasoles 1030 Los Olivos Carmen Marisela Zavala Cruz ")</f>
        <v>Calle Los Girasoles 1030 Los Olivos Carmen Marisela Zavala Cruz </v>
      </c>
      <c r="Y58" s="21" t="str">
        <f>IFERROR(__xludf.DUMMYFUNCTION("""COMPUTED_VALUE""")," ")</f>
        <v> </v>
      </c>
      <c r="Z58" s="21" t="str">
        <f>IFERROR(__xludf.DUMMYFUNCTION("""COMPUTED_VALUE"""),"Para mi hijo es un regalo ")</f>
        <v>Para mi hijo es un regalo </v>
      </c>
      <c r="AA58" s="20"/>
      <c r="AB58" s="22" t="str">
        <f>IFERROR(__xludf.DUMMYFUNCTION("""COMPUTED_VALUE"""),"Sandra")</f>
        <v>Sandra</v>
      </c>
      <c r="AC58" s="20"/>
      <c r="AD58" s="21" t="str">
        <f>IFERROR(__xludf.DUMMYFUNCTION("""COMPUTED_VALUE"""),"Q pronto llegue y sea un hermoso regalo para mi hijo una pulserita con su foto de su mascotita ")</f>
        <v>Q pronto llegue y sea un hermoso regalo para mi hijo una pulserita con su foto de su mascotita </v>
      </c>
      <c r="AE58" s="21" t="str">
        <f>IFERROR(__xludf.DUMMYFUNCTION("""COMPUTED_VALUE"""),"No es de mascotita")</f>
        <v>No es de mascotita</v>
      </c>
      <c r="AF58" s="20"/>
      <c r="AG58" s="20"/>
    </row>
    <row r="59" ht="15.75" customHeight="1">
      <c r="A59" s="20" t="s">
        <v>143</v>
      </c>
      <c r="B59" s="20" t="s">
        <v>33</v>
      </c>
      <c r="C59" s="21" t="str">
        <f>IFERROR(__xludf.DUMMYFUNCTION("""COMPUTED_VALUE"""),"Sandra")</f>
        <v>Sandra</v>
      </c>
      <c r="D59" s="20"/>
      <c r="E59" s="21" t="str">
        <f>IFERROR(__xludf.DUMMYFUNCTION("""COMPUTED_VALUE"""),"Collar dije acero 2cm grabado")</f>
        <v>Collar dije acero 2cm grabado</v>
      </c>
      <c r="F59" s="23">
        <v>45994.0</v>
      </c>
      <c r="G59" s="5"/>
      <c r="H59" s="5">
        <v>45994.0</v>
      </c>
      <c r="I59" s="21">
        <f>IFERROR(__xludf.DUMMYFUNCTION("""COMPUTED_VALUE"""),1.0)</f>
        <v>1</v>
      </c>
      <c r="J59" s="20"/>
      <c r="K59" s="21" t="str">
        <f>IFERROR(__xludf.DUMMYFUNCTION("""COMPUTED_VALUE"""),"Mónica ")</f>
        <v>Mónica </v>
      </c>
      <c r="L59" s="21" t="str">
        <f>IFERROR(__xludf.DUMMYFUNCTION("""COMPUTED_VALUE"""),"Gracias Miss Promo 2025 Inicial")</f>
        <v>Gracias Miss Promo 2025 Inicial</v>
      </c>
      <c r="M59" s="20" t="s">
        <v>36</v>
      </c>
      <c r="N59" s="20"/>
      <c r="O59" s="20">
        <v>99.0</v>
      </c>
      <c r="P59" s="20">
        <v>0.0</v>
      </c>
      <c r="Q59" s="20">
        <v>99.0</v>
      </c>
      <c r="R59" s="20">
        <v>0.0</v>
      </c>
      <c r="S59" s="20">
        <v>0.0</v>
      </c>
      <c r="T59" s="20"/>
      <c r="U59" s="20"/>
      <c r="V59" s="20"/>
      <c r="W59" s="21" t="str">
        <f>IFERROR(__xludf.DUMMYFUNCTION("""COMPUTED_VALUE"""),"Xx")</f>
        <v>Xx</v>
      </c>
      <c r="X59" s="21" t="str">
        <f>IFERROR(__xludf.DUMMYFUNCTION("""COMPUTED_VALUE"""),"X")</f>
        <v>X</v>
      </c>
      <c r="Y59" s="21" t="str">
        <f>IFERROR(__xludf.DUMMYFUNCTION("""COMPUTED_VALUE"""),"X")</f>
        <v>X</v>
      </c>
      <c r="Z59" s="21" t="str">
        <f>IFERROR(__xludf.DUMMYFUNCTION("""COMPUTED_VALUE"""),"Para mi")</f>
        <v>Para mi</v>
      </c>
      <c r="AA59" s="20"/>
      <c r="AB59" s="22" t="str">
        <f>IFERROR(__xludf.DUMMYFUNCTION("""COMPUTED_VALUE"""),"Sandra")</f>
        <v>Sandra</v>
      </c>
      <c r="AC59" s="20"/>
      <c r="AD59" s="21" t="str">
        <f>IFERROR(__xludf.DUMMYFUNCTION("""COMPUTED_VALUE"""),"Xx")</f>
        <v>Xx</v>
      </c>
      <c r="AE59" s="21" t="str">
        <f>IFERROR(__xludf.DUMMYFUNCTION("""COMPUTED_VALUE"""),"No es de mascotita")</f>
        <v>No es de mascotita</v>
      </c>
      <c r="AF59" s="20"/>
      <c r="AG59" s="20"/>
    </row>
    <row r="60" ht="15.75" customHeight="1">
      <c r="A60" s="28" t="s">
        <v>144</v>
      </c>
      <c r="B60" s="28" t="s">
        <v>33</v>
      </c>
      <c r="C60" s="29" t="str">
        <f>IFERROR(__xludf.DUMMYFUNCTION("""COMPUTED_VALUE"""),"Sandra")</f>
        <v>Sandra</v>
      </c>
      <c r="E60" s="29" t="str">
        <f>IFERROR(__xludf.DUMMYFUNCTION("""COMPUTED_VALUE"""),"Collar con dije 2cm con grabado adelante y atras")</f>
        <v>Collar con dije 2cm con grabado adelante y atras</v>
      </c>
      <c r="F60" s="23">
        <v>45996.0</v>
      </c>
      <c r="G60" s="23"/>
      <c r="H60" s="23">
        <v>45996.0</v>
      </c>
      <c r="I60" s="29">
        <f>IFERROR(__xludf.DUMMYFUNCTION("""COMPUTED_VALUE"""),1.0)</f>
        <v>1</v>
      </c>
      <c r="K60" s="29" t="str">
        <f>IFERROR(__xludf.DUMMYFUNCTION("""COMPUTED_VALUE"""),"Diseño Amelia con estrellas")</f>
        <v>Diseño Amelia con estrellas</v>
      </c>
      <c r="L60" s="29" t="str">
        <f>IFERROR(__xludf.DUMMYFUNCTION("""COMPUTED_VALUE"""),"Con virgen y ademas recuerdo de miprimera comunion")</f>
        <v>Con virgen y ademas recuerdo de miprimera comunion</v>
      </c>
      <c r="O60" s="28">
        <v>119.0</v>
      </c>
      <c r="P60" s="28">
        <v>1.0</v>
      </c>
      <c r="Q60" s="28">
        <v>100.0</v>
      </c>
      <c r="R60" s="28">
        <v>0.0</v>
      </c>
      <c r="S60" s="28">
        <v>100.0</v>
      </c>
      <c r="W60" s="29">
        <f>IFERROR(__xludf.DUMMYFUNCTION("""COMPUTED_VALUE"""),9.62320349E8)</f>
        <v>962320349</v>
      </c>
      <c r="X60" s="29" t="str">
        <f>IFERROR(__xludf.DUMMYFUNCTION("""COMPUTED_VALUE"""),"X")</f>
        <v>X</v>
      </c>
      <c r="Y60" s="29" t="str">
        <f>IFERROR(__xludf.DUMMYFUNCTION("""COMPUTED_VALUE"""),"X")</f>
        <v>X</v>
      </c>
      <c r="Z60" s="29" t="str">
        <f>IFERROR(__xludf.DUMMYFUNCTION("""COMPUTED_VALUE"""),"Sobrina ")</f>
        <v>Sobrina </v>
      </c>
      <c r="AB60" s="30" t="str">
        <f>IFERROR(__xludf.DUMMYFUNCTION("""COMPUTED_VALUE"""),"Sandra")</f>
        <v>Sandra</v>
      </c>
      <c r="AC60" s="28" t="s">
        <v>145</v>
      </c>
      <c r="AD60" s="29" t="str">
        <f>IFERROR(__xludf.DUMMYFUNCTION("""COMPUTED_VALUE"""),"urgente")</f>
        <v>urgente</v>
      </c>
      <c r="AE60" s="29" t="str">
        <f>IFERROR(__xludf.DUMMYFUNCTION("""COMPUTED_VALUE"""),"La mascotita está contigo  🐾🎉")</f>
        <v>La mascotita está contigo  🐾🎉</v>
      </c>
    </row>
    <row r="61" ht="15.75" customHeight="1">
      <c r="A61" s="28" t="s">
        <v>146</v>
      </c>
      <c r="B61" s="28" t="s">
        <v>33</v>
      </c>
      <c r="C61" s="29" t="str">
        <f>IFERROR(__xludf.DUMMYFUNCTION("""COMPUTED_VALUE"""),"Miriam Ibañez")</f>
        <v>Miriam Ibañez</v>
      </c>
      <c r="E61" s="29" t="str">
        <f>IFERROR(__xludf.DUMMYFUNCTION("""COMPUTED_VALUE"""),"Arete gatito ")</f>
        <v>Arete gatito </v>
      </c>
      <c r="F61" s="23">
        <v>45996.0</v>
      </c>
      <c r="G61" s="23"/>
      <c r="H61" s="23">
        <v>46002.0</v>
      </c>
      <c r="I61" s="29">
        <f>IFERROR(__xludf.DUMMYFUNCTION("""COMPUTED_VALUE"""),1.0)</f>
        <v>1</v>
      </c>
      <c r="K61" s="29" t="str">
        <f>IFERROR(__xludf.DUMMYFUNCTION("""COMPUTED_VALUE"""),"X")</f>
        <v>X</v>
      </c>
      <c r="L61" s="29" t="str">
        <f>IFERROR(__xludf.DUMMYFUNCTION("""COMPUTED_VALUE"""),"X")</f>
        <v>X</v>
      </c>
      <c r="M61" s="28" t="s">
        <v>36</v>
      </c>
      <c r="O61" s="28">
        <v>45.0</v>
      </c>
      <c r="P61" s="28">
        <v>0.0</v>
      </c>
      <c r="Q61" s="28">
        <v>45.0</v>
      </c>
      <c r="R61" s="28">
        <v>0.0</v>
      </c>
      <c r="S61" s="28">
        <v>45.0</v>
      </c>
      <c r="W61" s="29">
        <f>IFERROR(__xludf.DUMMYFUNCTION("""COMPUTED_VALUE"""),9.48315911E8)</f>
        <v>948315911</v>
      </c>
      <c r="X61" s="29" t="str">
        <f>IFERROR(__xludf.DUMMYFUNCTION("""COMPUTED_VALUE"""),"X")</f>
        <v>X</v>
      </c>
      <c r="Y61" s="29" t="str">
        <f>IFERROR(__xludf.DUMMYFUNCTION("""COMPUTED_VALUE"""),"X")</f>
        <v>X</v>
      </c>
      <c r="Z61" s="29" t="str">
        <f>IFERROR(__xludf.DUMMYFUNCTION("""COMPUTED_VALUE"""),"Para mi")</f>
        <v>Para mi</v>
      </c>
      <c r="AB61" s="30" t="str">
        <f>IFERROR(__xludf.DUMMYFUNCTION("""COMPUTED_VALUE"""),"Sandra")</f>
        <v>Sandra</v>
      </c>
      <c r="AD61" s="29" t="str">
        <f>IFERROR(__xludf.DUMMYFUNCTION("""COMPUTED_VALUE"""),"Autoridad Nacional del Agua ")</f>
        <v>Autoridad Nacional del Agua </v>
      </c>
      <c r="AE61" s="29" t="str">
        <f>IFERROR(__xludf.DUMMYFUNCTION("""COMPUTED_VALUE"""),"La mascotita ya está en el arcoiris 🌈🙏")</f>
        <v>La mascotita ya está en el arcoiris 🌈🙏</v>
      </c>
    </row>
    <row r="62" ht="15.75" customHeight="1">
      <c r="A62" s="28" t="s">
        <v>147</v>
      </c>
      <c r="B62" s="28" t="s">
        <v>33</v>
      </c>
      <c r="C62" s="29" t="str">
        <f>IFERROR(__xludf.DUMMYFUNCTION("""COMPUTED_VALUE"""),"Caroline alexandra rivas arce")</f>
        <v>Caroline alexandra rivas arce</v>
      </c>
      <c r="E62" s="29" t="str">
        <f>IFERROR(__xludf.DUMMYFUNCTION("""COMPUTED_VALUE"""),"huellita colgante de 1cm")</f>
        <v>huellita colgante de 1cm</v>
      </c>
      <c r="F62" s="23">
        <v>45992.0</v>
      </c>
      <c r="G62" s="23"/>
      <c r="H62" s="23">
        <v>45996.0</v>
      </c>
      <c r="I62" s="29">
        <f>IFERROR(__xludf.DUMMYFUNCTION("""COMPUTED_VALUE"""),1.0)</f>
        <v>1</v>
      </c>
      <c r="K62" s="29" t="str">
        <f>IFERROR(__xludf.DUMMYFUNCTION("""COMPUTED_VALUE"""),"no")</f>
        <v>no</v>
      </c>
      <c r="L62" s="29" t="str">
        <f>IFERROR(__xludf.DUMMYFUNCTION("""COMPUTED_VALUE"""),"no")</f>
        <v>no</v>
      </c>
      <c r="O62" s="28">
        <v>45.0</v>
      </c>
      <c r="P62" s="28">
        <v>0.0</v>
      </c>
      <c r="Q62" s="28">
        <v>45.0</v>
      </c>
      <c r="R62" s="28">
        <v>0.0</v>
      </c>
      <c r="S62" s="28">
        <v>45.0</v>
      </c>
      <c r="W62" s="29">
        <f>IFERROR(__xludf.DUMMYFUNCTION("""COMPUTED_VALUE"""),9.8931263E8)</f>
        <v>989312630</v>
      </c>
      <c r="X62" s="29" t="str">
        <f>IFERROR(__xludf.DUMMYFUNCTION("""COMPUTED_VALUE"""),"Victor cabezas mora 127 surco, recibe Segundo arce cel 910788235")</f>
        <v>Victor cabezas mora 127 surco, recibe Segundo arce cel 910788235</v>
      </c>
      <c r="Y62" s="29" t="str">
        <f>IFERROR(__xludf.DUMMYFUNCTION("""COMPUTED_VALUE"""),"no")</f>
        <v>no</v>
      </c>
      <c r="Z62" s="29" t="str">
        <f>IFERROR(__xludf.DUMMYFUNCTION("""COMPUTED_VALUE"""),"Para mi")</f>
        <v>Para mi</v>
      </c>
      <c r="AB62" s="30" t="str">
        <f>IFERROR(__xludf.DUMMYFUNCTION("""COMPUTED_VALUE"""),"Sandra")</f>
        <v>Sandra</v>
      </c>
      <c r="AC62" s="28" t="s">
        <v>148</v>
      </c>
      <c r="AD62" s="29" t="str">
        <f>IFERROR(__xludf.DUMMYFUNCTION("""COMPUTED_VALUE"""),"xx")</f>
        <v>xx</v>
      </c>
      <c r="AE62" s="29" t="str">
        <f>IFERROR(__xludf.DUMMYFUNCTION("""COMPUTED_VALUE"""),"La mascotita está contigo  🐾🎉")</f>
        <v>La mascotita está contigo  🐾🎉</v>
      </c>
    </row>
    <row r="63" ht="15.75" customHeight="1">
      <c r="A63" s="28" t="s">
        <v>149</v>
      </c>
      <c r="B63" s="28" t="s">
        <v>33</v>
      </c>
      <c r="C63" s="29" t="str">
        <f>IFERROR(__xludf.DUMMYFUNCTION("""COMPUTED_VALUE"""),"Miriam Ibañez")</f>
        <v>Miriam Ibañez</v>
      </c>
      <c r="E63" s="29" t="str">
        <f>IFERROR(__xludf.DUMMYFUNCTION("""COMPUTED_VALUE"""),"pulsera gatito")</f>
        <v>pulsera gatito</v>
      </c>
      <c r="F63" s="23">
        <v>45996.0</v>
      </c>
      <c r="G63" s="23"/>
      <c r="H63" s="23">
        <v>46002.0</v>
      </c>
      <c r="I63" s="29">
        <f>IFERROR(__xludf.DUMMYFUNCTION("""COMPUTED_VALUE"""),1.0)</f>
        <v>1</v>
      </c>
      <c r="K63" s="29" t="str">
        <f>IFERROR(__xludf.DUMMYFUNCTION("""COMPUTED_VALUE"""),"x")</f>
        <v>x</v>
      </c>
      <c r="L63" s="29" t="str">
        <f>IFERROR(__xludf.DUMMYFUNCTION("""COMPUTED_VALUE"""),"x")</f>
        <v>x</v>
      </c>
      <c r="O63" s="28">
        <v>45.0</v>
      </c>
      <c r="P63" s="28">
        <v>0.0</v>
      </c>
      <c r="Q63" s="28">
        <v>45.0</v>
      </c>
      <c r="R63" s="28">
        <v>0.0</v>
      </c>
      <c r="S63" s="28">
        <v>45.0</v>
      </c>
      <c r="W63" s="29">
        <f>IFERROR(__xludf.DUMMYFUNCTION("""COMPUTED_VALUE"""),9.48315911E8)</f>
        <v>948315911</v>
      </c>
      <c r="X63" s="29" t="str">
        <f>IFERROR(__xludf.DUMMYFUNCTION("""COMPUTED_VALUE"""),"x")</f>
        <v>x</v>
      </c>
      <c r="Y63" s="29" t="str">
        <f>IFERROR(__xludf.DUMMYFUNCTION("""COMPUTED_VALUE"""),"x")</f>
        <v>x</v>
      </c>
      <c r="Z63" s="29" t="str">
        <f>IFERROR(__xludf.DUMMYFUNCTION("""COMPUTED_VALUE"""),"Para mi")</f>
        <v>Para mi</v>
      </c>
      <c r="AB63" s="30" t="str">
        <f>IFERROR(__xludf.DUMMYFUNCTION("""COMPUTED_VALUE"""),"Sandra")</f>
        <v>Sandra</v>
      </c>
      <c r="AC63" s="28" t="s">
        <v>150</v>
      </c>
      <c r="AD63" s="29" t="str">
        <f>IFERROR(__xludf.DUMMYFUNCTION("""COMPUTED_VALUE"""),"Autoridad Nacional del Agua ")</f>
        <v>Autoridad Nacional del Agua </v>
      </c>
      <c r="AE63" s="29" t="str">
        <f>IFERROR(__xludf.DUMMYFUNCTION("""COMPUTED_VALUE"""),"La mascotita está contigo  🐾🎉")</f>
        <v>La mascotita está contigo  🐾🎉</v>
      </c>
    </row>
    <row r="64" ht="15.75" customHeight="1">
      <c r="A64" s="28" t="s">
        <v>151</v>
      </c>
      <c r="B64" s="28" t="s">
        <v>33</v>
      </c>
      <c r="C64" s="29" t="str">
        <f>IFERROR(__xludf.DUMMYFUNCTION("""COMPUTED_VALUE"""),"xx")</f>
        <v>xx</v>
      </c>
      <c r="E64" s="29" t="str">
        <f>IFERROR(__xludf.DUMMYFUNCTION("""COMPUTED_VALUE"""),"Aretes de huellita")</f>
        <v>Aretes de huellita</v>
      </c>
      <c r="F64" s="23">
        <v>45996.0</v>
      </c>
      <c r="G64" s="23"/>
      <c r="H64" s="23">
        <v>46002.0</v>
      </c>
      <c r="I64" s="29">
        <f>IFERROR(__xludf.DUMMYFUNCTION("""COMPUTED_VALUE"""),1.0)</f>
        <v>1</v>
      </c>
      <c r="K64" s="29" t="str">
        <f>IFERROR(__xludf.DUMMYFUNCTION("""COMPUTED_VALUE"""),"x")</f>
        <v>x</v>
      </c>
      <c r="L64" s="29" t="str">
        <f>IFERROR(__xludf.DUMMYFUNCTION("""COMPUTED_VALUE"""),"x")</f>
        <v>x</v>
      </c>
      <c r="O64" s="28">
        <v>45.0</v>
      </c>
      <c r="P64" s="28">
        <v>0.0</v>
      </c>
      <c r="Q64" s="28">
        <v>45.0</v>
      </c>
      <c r="R64" s="28">
        <v>0.0</v>
      </c>
      <c r="S64" s="28">
        <v>45.0</v>
      </c>
      <c r="W64" s="29" t="str">
        <f>IFERROR(__xludf.DUMMYFUNCTION("""COMPUTED_VALUE"""),"986 928 748")</f>
        <v>986 928 748</v>
      </c>
      <c r="X64" s="29" t="str">
        <f>IFERROR(__xludf.DUMMYFUNCTION("""COMPUTED_VALUE"""),"x")</f>
        <v>x</v>
      </c>
      <c r="Y64" s="29" t="str">
        <f>IFERROR(__xludf.DUMMYFUNCTION("""COMPUTED_VALUE"""),"x")</f>
        <v>x</v>
      </c>
      <c r="Z64" s="29" t="str">
        <f>IFERROR(__xludf.DUMMYFUNCTION("""COMPUTED_VALUE"""),"hija")</f>
        <v>hija</v>
      </c>
      <c r="AB64" s="30" t="str">
        <f>IFERROR(__xludf.DUMMYFUNCTION("""COMPUTED_VALUE"""),"Sandra")</f>
        <v>Sandra</v>
      </c>
      <c r="AD64" s="29" t="str">
        <f>IFERROR(__xludf.DUMMYFUNCTION("""COMPUTED_VALUE"""),"esta por definir el tipo de huellita")</f>
        <v>esta por definir el tipo de huellita</v>
      </c>
      <c r="AE64" s="29" t="str">
        <f>IFERROR(__xludf.DUMMYFUNCTION("""COMPUTED_VALUE"""),"La mascotita está contigo  🐾🎉")</f>
        <v>La mascotita está contigo  🐾🎉</v>
      </c>
    </row>
    <row r="65" ht="15.75" customHeight="1">
      <c r="A65" s="28" t="s">
        <v>152</v>
      </c>
      <c r="B65" s="28" t="s">
        <v>33</v>
      </c>
      <c r="C65" s="29" t="str">
        <f>IFERROR(__xludf.DUMMYFUNCTION("""COMPUTED_VALUE"""),"xx")</f>
        <v>xx</v>
      </c>
      <c r="E65" s="29" t="str">
        <f>IFERROR(__xludf.DUMMYFUNCTION("""COMPUTED_VALUE"""),"aretes labrador")</f>
        <v>aretes labrador</v>
      </c>
      <c r="F65" s="23">
        <v>45996.0</v>
      </c>
      <c r="G65" s="23"/>
      <c r="H65" s="23">
        <v>46002.0</v>
      </c>
      <c r="I65" s="29">
        <f>IFERROR(__xludf.DUMMYFUNCTION("""COMPUTED_VALUE"""),1.0)</f>
        <v>1</v>
      </c>
      <c r="K65" s="29" t="str">
        <f>IFERROR(__xludf.DUMMYFUNCTION("""COMPUTED_VALUE"""),"x")</f>
        <v>x</v>
      </c>
      <c r="L65" s="29" t="str">
        <f>IFERROR(__xludf.DUMMYFUNCTION("""COMPUTED_VALUE"""),"x")</f>
        <v>x</v>
      </c>
      <c r="O65" s="28">
        <v>45.0</v>
      </c>
      <c r="P65" s="28">
        <v>0.0</v>
      </c>
      <c r="Q65" s="28">
        <v>45.0</v>
      </c>
      <c r="R65" s="28">
        <v>0.0</v>
      </c>
      <c r="S65" s="28">
        <v>45.0</v>
      </c>
      <c r="W65" s="29" t="str">
        <f>IFERROR(__xludf.DUMMYFUNCTION("""COMPUTED_VALUE"""),"986 928 748")</f>
        <v>986 928 748</v>
      </c>
      <c r="X65" s="29" t="str">
        <f>IFERROR(__xludf.DUMMYFUNCTION("""COMPUTED_VALUE"""),"x")</f>
        <v>x</v>
      </c>
      <c r="Y65" s="29" t="str">
        <f>IFERROR(__xludf.DUMMYFUNCTION("""COMPUTED_VALUE"""),"x")</f>
        <v>x</v>
      </c>
      <c r="Z65" s="29" t="str">
        <f>IFERROR(__xludf.DUMMYFUNCTION("""COMPUTED_VALUE"""),"Hija")</f>
        <v>Hija</v>
      </c>
      <c r="AB65" s="30" t="str">
        <f>IFERROR(__xludf.DUMMYFUNCTION("""COMPUTED_VALUE"""),"Sandra")</f>
        <v>Sandra</v>
      </c>
      <c r="AD65" s="29" t="str">
        <f>IFERROR(__xludf.DUMMYFUNCTION("""COMPUTED_VALUE"""),"autoridad nacional del agua")</f>
        <v>autoridad nacional del agua</v>
      </c>
      <c r="AE65" s="29" t="str">
        <f>IFERROR(__xludf.DUMMYFUNCTION("""COMPUTED_VALUE"""),"La mascotita está contigo  🐾🎉")</f>
        <v>La mascotita está contigo  🐾🎉</v>
      </c>
    </row>
    <row r="66" ht="15.75" customHeight="1">
      <c r="A66" s="28" t="s">
        <v>153</v>
      </c>
      <c r="B66" s="28" t="s">
        <v>33</v>
      </c>
      <c r="C66" s="29" t="str">
        <f>IFERROR(__xludf.DUMMYFUNCTION("""COMPUTED_VALUE"""),"Isabel Frias Paz")</f>
        <v>Isabel Frias Paz</v>
      </c>
      <c r="E66" s="29" t="str">
        <f>IFERROR(__xludf.DUMMYFUNCTION("""COMPUTED_VALUE"""),"P07 Pulsera con hilo negro dije circular s/149")</f>
        <v>P07 Pulsera con hilo negro dije circular s/149</v>
      </c>
      <c r="F66" s="23">
        <v>45996.0</v>
      </c>
      <c r="G66" s="23"/>
      <c r="H66" s="23">
        <v>46002.0</v>
      </c>
      <c r="I66" s="29">
        <f>IFERROR(__xludf.DUMMYFUNCTION("""COMPUTED_VALUE"""),1.0)</f>
        <v>1</v>
      </c>
      <c r="K66" s="29" t="str">
        <f>IFERROR(__xludf.DUMMYFUNCTION("""COMPUTED_VALUE"""),"x")</f>
        <v>x</v>
      </c>
      <c r="L66" s="29" t="str">
        <f>IFERROR(__xludf.DUMMYFUNCTION("""COMPUTED_VALUE"""),"x")</f>
        <v>x</v>
      </c>
      <c r="M66" s="28" t="s">
        <v>36</v>
      </c>
      <c r="O66" s="28">
        <v>129.0</v>
      </c>
      <c r="P66" s="28">
        <v>0.0</v>
      </c>
      <c r="Q66" s="28">
        <v>129.0</v>
      </c>
      <c r="R66" s="28">
        <v>0.0</v>
      </c>
      <c r="S66" s="28">
        <v>129.0</v>
      </c>
      <c r="W66" s="29" t="str">
        <f>IFERROR(__xludf.DUMMYFUNCTION("""COMPUTED_VALUE"""),"990 621 100")</f>
        <v>990 621 100</v>
      </c>
      <c r="X66" s="29" t="str">
        <f>IFERROR(__xludf.DUMMYFUNCTION("""COMPUTED_VALUE"""),"x")</f>
        <v>x</v>
      </c>
      <c r="Y66" s="29" t="str">
        <f>IFERROR(__xludf.DUMMYFUNCTION("""COMPUTED_VALUE"""),"x")</f>
        <v>x</v>
      </c>
      <c r="Z66" s="29" t="str">
        <f>IFERROR(__xludf.DUMMYFUNCTION("""COMPUTED_VALUE"""),"hijo")</f>
        <v>hijo</v>
      </c>
      <c r="AB66" s="30" t="str">
        <f>IFERROR(__xludf.DUMMYFUNCTION("""COMPUTED_VALUE"""),"Sandra")</f>
        <v>Sandra</v>
      </c>
      <c r="AD66" s="29" t="str">
        <f>IFERROR(__xludf.DUMMYFUNCTION("""COMPUTED_VALUE"""),"Se realiza diseño un humano y un perrito")</f>
        <v>Se realiza diseño un humano y un perrito</v>
      </c>
      <c r="AE66" s="29" t="str">
        <f>IFERROR(__xludf.DUMMYFUNCTION("""COMPUTED_VALUE"""),"La mascotita está contigo  🐾🎉")</f>
        <v>La mascotita está contigo  🐾🎉</v>
      </c>
    </row>
    <row r="67" ht="15.75" customHeight="1">
      <c r="A67" s="28" t="s">
        <v>154</v>
      </c>
      <c r="B67" s="28" t="s">
        <v>33</v>
      </c>
      <c r="C67" s="29" t="str">
        <f>IFERROR(__xludf.DUMMYFUNCTION("""COMPUTED_VALUE"""),"xx")</f>
        <v>xx</v>
      </c>
      <c r="E67" s="29" t="str">
        <f>IFERROR(__xludf.DUMMYFUNCTION("""COMPUTED_VALUE"""),"CL01 Collar dije circular 1.5cm s/149")</f>
        <v>CL01 Collar dije circular 1.5cm s/149</v>
      </c>
      <c r="F67" s="23">
        <v>45996.0</v>
      </c>
      <c r="G67" s="23"/>
      <c r="H67" s="23">
        <v>46002.0</v>
      </c>
      <c r="I67" s="29">
        <f>IFERROR(__xludf.DUMMYFUNCTION("""COMPUTED_VALUE"""),1.0)</f>
        <v>1</v>
      </c>
      <c r="K67" s="29" t="str">
        <f>IFERROR(__xludf.DUMMYFUNCTION("""COMPUTED_VALUE"""),"x")</f>
        <v>x</v>
      </c>
      <c r="L67" s="29" t="str">
        <f>IFERROR(__xludf.DUMMYFUNCTION("""COMPUTED_VALUE"""),"x")</f>
        <v>x</v>
      </c>
      <c r="O67" s="28">
        <v>139.0</v>
      </c>
      <c r="P67" s="28">
        <v>0.0</v>
      </c>
      <c r="Q67" s="28">
        <v>139.0</v>
      </c>
      <c r="R67" s="28">
        <v>0.0</v>
      </c>
      <c r="S67" s="28">
        <v>139.0</v>
      </c>
      <c r="W67" s="29" t="str">
        <f>IFERROR(__xludf.DUMMYFUNCTION("""COMPUTED_VALUE"""),"934 785 513")</f>
        <v>934 785 513</v>
      </c>
      <c r="X67" s="29" t="str">
        <f>IFERROR(__xludf.DUMMYFUNCTION("""COMPUTED_VALUE"""),"x")</f>
        <v>x</v>
      </c>
      <c r="Y67" s="29" t="str">
        <f>IFERROR(__xludf.DUMMYFUNCTION("""COMPUTED_VALUE"""),"x")</f>
        <v>x</v>
      </c>
      <c r="Z67" s="29" t="str">
        <f>IFERROR(__xludf.DUMMYFUNCTION("""COMPUTED_VALUE"""),"Para mi")</f>
        <v>Para mi</v>
      </c>
      <c r="AB67" s="30" t="str">
        <f>IFERROR(__xludf.DUMMYFUNCTION("""COMPUTED_VALUE"""),"Sandra")</f>
        <v>Sandra</v>
      </c>
      <c r="AD67" s="29" t="str">
        <f>IFERROR(__xludf.DUMMYFUNCTION("""COMPUTED_VALUE"""),"grabado de una mascota en una cara y en otra mascota en otra cara")</f>
        <v>grabado de una mascota en una cara y en otra mascota en otra cara</v>
      </c>
      <c r="AE67" s="29" t="str">
        <f>IFERROR(__xludf.DUMMYFUNCTION("""COMPUTED_VALUE"""),"La mascotita está contigo  🐾🎉")</f>
        <v>La mascotita está contigo  🐾🎉</v>
      </c>
    </row>
    <row r="68" ht="15.75" customHeight="1">
      <c r="A68" s="28" t="s">
        <v>155</v>
      </c>
      <c r="B68" s="28" t="s">
        <v>33</v>
      </c>
      <c r="C68" s="29" t="str">
        <f>IFERROR(__xludf.DUMMYFUNCTION("""COMPUTED_VALUE"""),"Lili")</f>
        <v>Lili</v>
      </c>
      <c r="E68" s="29" t="str">
        <f>IFERROR(__xludf.DUMMYFUNCTION("""COMPUTED_VALUE"""),"DL01 Dije circular solo 1.5cm s/119")</f>
        <v>DL01 Dije circular solo 1.5cm s/119</v>
      </c>
      <c r="F68" s="23">
        <v>45996.0</v>
      </c>
      <c r="G68" s="23"/>
      <c r="H68" s="23">
        <v>46002.0</v>
      </c>
      <c r="I68" s="29">
        <f>IFERROR(__xludf.DUMMYFUNCTION("""COMPUTED_VALUE"""),1.0)</f>
        <v>1</v>
      </c>
      <c r="K68" s="29" t="str">
        <f>IFERROR(__xludf.DUMMYFUNCTION("""COMPUTED_VALUE"""),"xx")</f>
        <v>xx</v>
      </c>
      <c r="L68" s="29" t="str">
        <f>IFERROR(__xludf.DUMMYFUNCTION("""COMPUTED_VALUE"""),"xx")</f>
        <v>xx</v>
      </c>
      <c r="M68" s="28" t="s">
        <v>36</v>
      </c>
      <c r="O68" s="28">
        <v>109.0</v>
      </c>
      <c r="P68" s="28">
        <v>0.0</v>
      </c>
      <c r="Q68" s="28">
        <v>109.0</v>
      </c>
      <c r="R68" s="28">
        <v>0.0</v>
      </c>
      <c r="S68" s="28">
        <v>109.0</v>
      </c>
      <c r="W68" s="29" t="str">
        <f>IFERROR(__xludf.DUMMYFUNCTION("""COMPUTED_VALUE"""),"996 651 617")</f>
        <v>996 651 617</v>
      </c>
      <c r="X68" s="29" t="str">
        <f>IFERROR(__xludf.DUMMYFUNCTION("""COMPUTED_VALUE"""),"x")</f>
        <v>x</v>
      </c>
      <c r="Y68" s="29" t="str">
        <f>IFERROR(__xludf.DUMMYFUNCTION("""COMPUTED_VALUE"""),"x")</f>
        <v>x</v>
      </c>
      <c r="Z68" s="29" t="str">
        <f>IFERROR(__xludf.DUMMYFUNCTION("""COMPUTED_VALUE"""),"Para mi")</f>
        <v>Para mi</v>
      </c>
      <c r="AB68" s="30" t="str">
        <f>IFERROR(__xludf.DUMMYFUNCTION("""COMPUTED_VALUE"""),"Sandra")</f>
        <v>Sandra</v>
      </c>
      <c r="AD68" s="29" t="str">
        <f>IFERROR(__xludf.DUMMYFUNCTION("""COMPUTED_VALUE"""),"pendiente de indicar grabado atras con el nombre Autoridad Nacional del Ana")</f>
        <v>pendiente de indicar grabado atras con el nombre Autoridad Nacional del Ana</v>
      </c>
      <c r="AE68" s="29" t="str">
        <f>IFERROR(__xludf.DUMMYFUNCTION("""COMPUTED_VALUE"""),"No es de mascotita")</f>
        <v>No es de mascotita</v>
      </c>
    </row>
    <row r="69" ht="15.75" customHeight="1">
      <c r="A69" s="28" t="s">
        <v>156</v>
      </c>
      <c r="B69" s="28" t="s">
        <v>33</v>
      </c>
      <c r="C69" s="29" t="str">
        <f>IFERROR(__xludf.DUMMYFUNCTION("""COMPUTED_VALUE"""),"July")</f>
        <v>July</v>
      </c>
      <c r="E69" s="29" t="str">
        <f>IFERROR(__xludf.DUMMYFUNCTION("""COMPUTED_VALUE"""),"Pulsera gruesa con dije impresion ambos lados")</f>
        <v>Pulsera gruesa con dije impresion ambos lados</v>
      </c>
      <c r="F69" s="23">
        <v>45996.0</v>
      </c>
      <c r="G69" s="23"/>
      <c r="H69" s="23">
        <v>46002.0</v>
      </c>
      <c r="I69" s="29">
        <f>IFERROR(__xludf.DUMMYFUNCTION("""COMPUTED_VALUE"""),1.0)</f>
        <v>1</v>
      </c>
      <c r="K69" s="29" t="str">
        <f>IFERROR(__xludf.DUMMYFUNCTION("""COMPUTED_VALUE"""),"persona")</f>
        <v>persona</v>
      </c>
      <c r="L69" s="29" t="str">
        <f>IFERROR(__xludf.DUMMYFUNCTION("""COMPUTED_VALUE"""),"persona")</f>
        <v>persona</v>
      </c>
      <c r="M69" s="28" t="s">
        <v>36</v>
      </c>
      <c r="O69" s="28">
        <v>219.0</v>
      </c>
      <c r="P69" s="28">
        <v>0.0</v>
      </c>
      <c r="Q69" s="28">
        <v>219.0</v>
      </c>
      <c r="R69" s="28">
        <v>0.0</v>
      </c>
      <c r="S69" s="28">
        <v>219.0</v>
      </c>
      <c r="W69" s="29" t="str">
        <f>IFERROR(__xludf.DUMMYFUNCTION("""COMPUTED_VALUE"""),"xx")</f>
        <v>xx</v>
      </c>
      <c r="X69" s="29" t="str">
        <f>IFERROR(__xludf.DUMMYFUNCTION("""COMPUTED_VALUE"""),"no")</f>
        <v>no</v>
      </c>
      <c r="Y69" s="29" t="str">
        <f>IFERROR(__xludf.DUMMYFUNCTION("""COMPUTED_VALUE"""),"no")</f>
        <v>no</v>
      </c>
      <c r="Z69" s="29" t="str">
        <f>IFERROR(__xludf.DUMMYFUNCTION("""COMPUTED_VALUE"""),"Para mi")</f>
        <v>Para mi</v>
      </c>
      <c r="AB69" s="30" t="str">
        <f>IFERROR(__xludf.DUMMYFUNCTION("""COMPUTED_VALUE"""),"Sandra")</f>
        <v>Sandra</v>
      </c>
      <c r="AD69" s="29" t="str">
        <f>IFERROR(__xludf.DUMMYFUNCTION("""COMPUTED_VALUE"""),"xx")</f>
        <v>xx</v>
      </c>
      <c r="AE69" s="29" t="str">
        <f>IFERROR(__xludf.DUMMYFUNCTION("""COMPUTED_VALUE"""),"No es de mascotita")</f>
        <v>No es de mascotita</v>
      </c>
    </row>
    <row r="70" ht="15.75" customHeight="1">
      <c r="A70" s="28" t="s">
        <v>157</v>
      </c>
      <c r="B70" s="28" t="s">
        <v>33</v>
      </c>
      <c r="C70" s="29" t="str">
        <f>IFERROR(__xludf.DUMMYFUNCTION("""COMPUTED_VALUE"""),"Katia")</f>
        <v>Katia</v>
      </c>
      <c r="E70" s="29" t="str">
        <f>IFERROR(__xludf.DUMMYFUNCTION("""COMPUTED_VALUE"""),"dije circular en oro con letra F con nacar piedra")</f>
        <v>dije circular en oro con letra F con nacar piedra</v>
      </c>
      <c r="F70" s="23">
        <v>45996.0</v>
      </c>
      <c r="G70" s="23"/>
      <c r="H70" s="23">
        <v>46001.0</v>
      </c>
      <c r="I70" s="29">
        <f>IFERROR(__xludf.DUMMYFUNCTION("""COMPUTED_VALUE"""),1.0)</f>
        <v>1</v>
      </c>
      <c r="K70" s="29" t="str">
        <f>IFERROR(__xludf.DUMMYFUNCTION("""COMPUTED_VALUE"""),"x")</f>
        <v>x</v>
      </c>
      <c r="L70" s="29" t="str">
        <f>IFERROR(__xludf.DUMMYFUNCTION("""COMPUTED_VALUE"""),"x")</f>
        <v>x</v>
      </c>
      <c r="O70" s="28">
        <v>255.0</v>
      </c>
      <c r="P70" s="28">
        <v>0.0</v>
      </c>
      <c r="Q70" s="28">
        <v>255.0</v>
      </c>
      <c r="R70" s="28">
        <v>0.0</v>
      </c>
      <c r="S70" s="28">
        <v>255.0</v>
      </c>
      <c r="W70" s="29" t="str">
        <f>IFERROR(__xludf.DUMMYFUNCTION("""COMPUTED_VALUE"""),"xx")</f>
        <v>xx</v>
      </c>
      <c r="X70" s="29" t="str">
        <f>IFERROR(__xludf.DUMMYFUNCTION("""COMPUTED_VALUE"""),"x")</f>
        <v>x</v>
      </c>
      <c r="Y70" s="29" t="str">
        <f>IFERROR(__xludf.DUMMYFUNCTION("""COMPUTED_VALUE"""),"x")</f>
        <v>x</v>
      </c>
      <c r="Z70" s="29" t="str">
        <f>IFERROR(__xludf.DUMMYFUNCTION("""COMPUTED_VALUE"""),"Para mi")</f>
        <v>Para mi</v>
      </c>
      <c r="AB70" s="30" t="str">
        <f>IFERROR(__xludf.DUMMYFUNCTION("""COMPUTED_VALUE"""),"Sandra")</f>
        <v>Sandra</v>
      </c>
      <c r="AC70" s="28" t="s">
        <v>158</v>
      </c>
      <c r="AD70" s="29" t="str">
        <f>IFERROR(__xludf.DUMMYFUNCTION("""COMPUTED_VALUE"""),"definir el tamaño")</f>
        <v>definir el tamaño</v>
      </c>
      <c r="AE70" s="29" t="str">
        <f>IFERROR(__xludf.DUMMYFUNCTION("""COMPUTED_VALUE"""),"No es de mascotita")</f>
        <v>No es de mascotita</v>
      </c>
    </row>
    <row r="71" ht="15.75" customHeight="1">
      <c r="A71" s="28" t="s">
        <v>159</v>
      </c>
      <c r="B71" s="28" t="s">
        <v>33</v>
      </c>
      <c r="C71" s="29" t="str">
        <f>IFERROR(__xludf.DUMMYFUNCTION("""COMPUTED_VALUE"""),"Katia")</f>
        <v>Katia</v>
      </c>
      <c r="E71" s="29" t="str">
        <f>IFERROR(__xludf.DUMMYFUNCTION("""COMPUTED_VALUE"""),"01 dije 2cm con huellitas y dije de piedra octubre")</f>
        <v>01 dije 2cm con huellitas y dije de piedra octubre</v>
      </c>
      <c r="F71" s="23">
        <v>45993.0</v>
      </c>
      <c r="G71" s="23"/>
      <c r="H71" s="23">
        <v>45996.0</v>
      </c>
      <c r="I71" s="29">
        <f>IFERROR(__xludf.DUMMYFUNCTION("""COMPUTED_VALUE"""),1.0)</f>
        <v>1</v>
      </c>
      <c r="K71" s="29" t="str">
        <f>IFERROR(__xludf.DUMMYFUNCTION("""COMPUTED_VALUE"""),"huellitas ")</f>
        <v>huellitas </v>
      </c>
      <c r="L71" s="29" t="str">
        <f>IFERROR(__xludf.DUMMYFUNCTION("""COMPUTED_VALUE"""),"x")</f>
        <v>x</v>
      </c>
      <c r="O71" s="28">
        <v>210.0</v>
      </c>
      <c r="P71" s="28">
        <v>0.0</v>
      </c>
      <c r="Q71" s="28">
        <v>210.0</v>
      </c>
      <c r="R71" s="28">
        <v>0.0</v>
      </c>
      <c r="S71" s="28">
        <v>210.0</v>
      </c>
      <c r="W71" s="29" t="str">
        <f>IFERROR(__xludf.DUMMYFUNCTION("""COMPUTED_VALUE"""),"xx")</f>
        <v>xx</v>
      </c>
      <c r="X71" s="29" t="str">
        <f>IFERROR(__xludf.DUMMYFUNCTION("""COMPUTED_VALUE"""),"x")</f>
        <v>x</v>
      </c>
      <c r="Y71" s="29" t="str">
        <f>IFERROR(__xludf.DUMMYFUNCTION("""COMPUTED_VALUE"""),"x")</f>
        <v>x</v>
      </c>
      <c r="Z71" s="29" t="str">
        <f>IFERROR(__xludf.DUMMYFUNCTION("""COMPUTED_VALUE"""),"Para mi")</f>
        <v>Para mi</v>
      </c>
      <c r="AB71" s="30" t="str">
        <f>IFERROR(__xludf.DUMMYFUNCTION("""COMPUTED_VALUE"""),"Sandra")</f>
        <v>Sandra</v>
      </c>
      <c r="AC71" s="28" t="s">
        <v>160</v>
      </c>
      <c r="AD71" s="29" t="str">
        <f>IFERROR(__xludf.DUMMYFUNCTION("""COMPUTED_VALUE"""),"identificar lo que se necesita para el diseño, dos huellitas y los datos")</f>
        <v>identificar lo que se necesita para el diseño, dos huellitas y los datos</v>
      </c>
      <c r="AE71" s="29" t="str">
        <f>IFERROR(__xludf.DUMMYFUNCTION("""COMPUTED_VALUE"""),"No es de mascotita")</f>
        <v>No es de mascotita</v>
      </c>
    </row>
    <row r="72" ht="15.75" customHeight="1">
      <c r="A72" s="28" t="s">
        <v>161</v>
      </c>
      <c r="B72" s="28" t="s">
        <v>33</v>
      </c>
      <c r="C72" s="29" t="str">
        <f>IFERROR(__xludf.DUMMYFUNCTION("""COMPUTED_VALUE"""),"Katia")</f>
        <v>Katia</v>
      </c>
      <c r="E72" s="29" t="str">
        <f>IFERROR(__xludf.DUMMYFUNCTION("""COMPUTED_VALUE"""),"Collar con dije rectangular con mano de bebé")</f>
        <v>Collar con dije rectangular con mano de bebé</v>
      </c>
      <c r="F72" s="23">
        <v>45992.0</v>
      </c>
      <c r="G72" s="23"/>
      <c r="H72" s="23">
        <v>45996.0</v>
      </c>
      <c r="I72" s="29">
        <f>IFERROR(__xludf.DUMMYFUNCTION("""COMPUTED_VALUE"""),1.0)</f>
        <v>1</v>
      </c>
      <c r="K72" s="29" t="str">
        <f>IFERROR(__xludf.DUMMYFUNCTION("""COMPUTED_VALUE"""),"huella adelante con nombre Facu 04.10")</f>
        <v>huella adelante con nombre Facu 04.10</v>
      </c>
      <c r="L72" s="29" t="str">
        <f>IFERROR(__xludf.DUMMYFUNCTION("""COMPUTED_VALUE"""),"xx")</f>
        <v>xx</v>
      </c>
      <c r="O72" s="28">
        <v>209.0</v>
      </c>
      <c r="P72" s="28">
        <v>0.0</v>
      </c>
      <c r="Q72" s="28">
        <v>209.0</v>
      </c>
      <c r="R72" s="28">
        <v>0.0</v>
      </c>
      <c r="S72" s="28">
        <v>209.0</v>
      </c>
      <c r="W72" s="29" t="str">
        <f>IFERROR(__xludf.DUMMYFUNCTION("""COMPUTED_VALUE"""),"xx")</f>
        <v>xx</v>
      </c>
      <c r="X72" s="29" t="str">
        <f>IFERROR(__xludf.DUMMYFUNCTION("""COMPUTED_VALUE"""),"xx")</f>
        <v>xx</v>
      </c>
      <c r="Y72" s="29" t="str">
        <f>IFERROR(__xludf.DUMMYFUNCTION("""COMPUTED_VALUE"""),"xx")</f>
        <v>xx</v>
      </c>
      <c r="Z72" s="29" t="str">
        <f>IFERROR(__xludf.DUMMYFUNCTION("""COMPUTED_VALUE"""),"Para mi")</f>
        <v>Para mi</v>
      </c>
      <c r="AB72" s="30" t="str">
        <f>IFERROR(__xludf.DUMMYFUNCTION("""COMPUTED_VALUE"""),"Sandra")</f>
        <v>Sandra</v>
      </c>
      <c r="AC72" s="28" t="s">
        <v>162</v>
      </c>
      <c r="AD72" s="29" t="str">
        <f>IFERROR(__xludf.DUMMYFUNCTION("""COMPUTED_VALUE"""),"xx")</f>
        <v>xx</v>
      </c>
      <c r="AE72" s="29" t="str">
        <f>IFERROR(__xludf.DUMMYFUNCTION("""COMPUTED_VALUE"""),"La mascotita ya está en el arcoiris 🌈🙏")</f>
        <v>La mascotita ya está en el arcoiris 🌈🙏</v>
      </c>
    </row>
    <row r="73" ht="15.75" customHeight="1">
      <c r="A73" s="28" t="s">
        <v>163</v>
      </c>
      <c r="B73" s="28" t="s">
        <v>33</v>
      </c>
      <c r="C73" s="29" t="str">
        <f>IFERROR(__xludf.DUMMYFUNCTION("""COMPUTED_VALUE"""),"Sara Aracelly Alvarado Da Souza ")</f>
        <v>Sara Aracelly Alvarado Da Souza </v>
      </c>
      <c r="E73" s="29" t="str">
        <f>IFERROR(__xludf.DUMMYFUNCTION("""COMPUTED_VALUE"""),"Otros")</f>
        <v>Otros</v>
      </c>
      <c r="F73" s="23">
        <v>45999.0</v>
      </c>
      <c r="G73" s="23"/>
      <c r="H73" s="23">
        <v>46003.0</v>
      </c>
      <c r="I73" s="29">
        <f>IFERROR(__xludf.DUMMYFUNCTION("""COMPUTED_VALUE"""),2.0)</f>
        <v>2</v>
      </c>
      <c r="K73" s="29" t="str">
        <f>IFERROR(__xludf.DUMMYFUNCTION("""COMPUTED_VALUE"""),"Solo su rostro")</f>
        <v>Solo su rostro</v>
      </c>
      <c r="L73" s="29" t="str">
        <f>IFERROR(__xludf.DUMMYFUNCTION("""COMPUTED_VALUE"""),"No")</f>
        <v>No</v>
      </c>
      <c r="M73" s="28" t="s">
        <v>36</v>
      </c>
      <c r="O73" s="28">
        <v>205.0</v>
      </c>
      <c r="P73" s="28">
        <v>0.0</v>
      </c>
      <c r="Q73" s="28">
        <v>205.0</v>
      </c>
      <c r="R73" s="28">
        <v>0.0</v>
      </c>
      <c r="S73" s="28">
        <v>205.0</v>
      </c>
      <c r="W73" s="29">
        <f>IFERROR(__xludf.DUMMYFUNCTION("""COMPUTED_VALUE"""),9.59021302E8)</f>
        <v>959021302</v>
      </c>
      <c r="X73" s="29" t="str">
        <f>IFERROR(__xludf.DUMMYFUNCTION("""COMPUTED_VALUE"""),"No")</f>
        <v>No</v>
      </c>
      <c r="Y73" s="29" t="str">
        <f>IFERROR(__xludf.DUMMYFUNCTION("""COMPUTED_VALUE"""),"Sara Aracelly Alvarado Da Souza")</f>
        <v>Sara Aracelly Alvarado Da Souza</v>
      </c>
      <c r="Z73" s="29" t="str">
        <f>IFERROR(__xludf.DUMMYFUNCTION("""COMPUTED_VALUE"""),"Para mi")</f>
        <v>Para mi</v>
      </c>
      <c r="AB73" s="30" t="str">
        <f>IFERROR(__xludf.DUMMYFUNCTION("""COMPUTED_VALUE"""),"Sandra")</f>
        <v>Sandra</v>
      </c>
      <c r="AC73" s="28" t="s">
        <v>164</v>
      </c>
      <c r="AD73" s="29" t="str">
        <f>IFERROR(__xludf.DUMMYFUNCTION("""COMPUTED_VALUE"""),"Que rostros se noten bien")</f>
        <v>Que rostros se noten bien</v>
      </c>
      <c r="AE73" s="29" t="str">
        <f>IFERROR(__xludf.DUMMYFUNCTION("""COMPUTED_VALUE"""),"La mascotita ya está en el arcoiris 🌈🙏")</f>
        <v>La mascotita ya está en el arcoiris 🌈🙏</v>
      </c>
    </row>
    <row r="74" ht="15.75" customHeight="1">
      <c r="A74" s="28" t="s">
        <v>165</v>
      </c>
      <c r="B74" s="28" t="s">
        <v>33</v>
      </c>
      <c r="C74" s="29" t="str">
        <f>IFERROR(__xludf.DUMMYFUNCTION("""COMPUTED_VALUE"""),"Melany Demi Depaz Navarrete ")</f>
        <v>Melany Demi Depaz Navarrete </v>
      </c>
      <c r="E74" s="29" t="str">
        <f>IFERROR(__xludf.DUMMYFUNCTION("""COMPUTED_VALUE"""),"P01 Pulsera dije circular 2cm colgante  s/149")</f>
        <v>P01 Pulsera dije circular 2cm colgante  s/149</v>
      </c>
      <c r="F74" s="23">
        <v>45999.0</v>
      </c>
      <c r="G74" s="23"/>
      <c r="H74" s="23">
        <v>46003.0</v>
      </c>
      <c r="I74" s="29">
        <f>IFERROR(__xludf.DUMMYFUNCTION("""COMPUTED_VALUE"""),1.0)</f>
        <v>1</v>
      </c>
      <c r="K74" s="29" t="str">
        <f>IFERROR(__xludf.DUMMYFUNCTION("""COMPUTED_VALUE"""),"Mamiuska")</f>
        <v>Mamiuska</v>
      </c>
      <c r="L74" s="29" t="str">
        <f>IFERROR(__xludf.DUMMYFUNCTION("""COMPUTED_VALUE"""),"Ninguna")</f>
        <v>Ninguna</v>
      </c>
      <c r="O74" s="28">
        <v>159.0</v>
      </c>
      <c r="P74" s="28">
        <v>0.0</v>
      </c>
      <c r="Q74" s="28">
        <v>159.0</v>
      </c>
      <c r="R74" s="28">
        <v>0.0</v>
      </c>
      <c r="S74" s="28">
        <v>159.0</v>
      </c>
      <c r="W74" s="29">
        <f>IFERROR(__xludf.DUMMYFUNCTION("""COMPUTED_VALUE"""),9.91500246E8)</f>
        <v>991500246</v>
      </c>
      <c r="X74" s="29" t="str">
        <f>IFERROR(__xludf.DUMMYFUNCTION("""COMPUTED_VALUE"""),"Cesar Valenzuela y celular 924777123. ")</f>
        <v>Cesar Valenzuela y celular 924777123. </v>
      </c>
      <c r="Y74" s="29" t="str">
        <f>IFERROR(__xludf.DUMMYFUNCTION("""COMPUTED_VALUE"""),"Ninguna ")</f>
        <v>Ninguna </v>
      </c>
      <c r="Z74" s="29" t="str">
        <f>IFERROR(__xludf.DUMMYFUNCTION("""COMPUTED_VALUE"""),"Para mi")</f>
        <v>Para mi</v>
      </c>
      <c r="AB74" s="30" t="str">
        <f>IFERROR(__xludf.DUMMYFUNCTION("""COMPUTED_VALUE"""),"Sandra")</f>
        <v>Sandra</v>
      </c>
      <c r="AC74" s="28" t="s">
        <v>166</v>
      </c>
      <c r="AD74" s="29" t="str">
        <f>IFERROR(__xludf.DUMMYFUNCTION("""COMPUTED_VALUE"""),"En el diseño que envié considerar las fotos que indique por favor agradecería mucho.")</f>
        <v>En el diseño que envié considerar las fotos que indique por favor agradecería mucho.</v>
      </c>
      <c r="AE74" s="29" t="str">
        <f>IFERROR(__xludf.DUMMYFUNCTION("""COMPUTED_VALUE"""),"La mascotita ya está en el arcoiris 🌈🙏")</f>
        <v>La mascotita ya está en el arcoiris 🌈🙏</v>
      </c>
    </row>
    <row r="75" ht="15.75" customHeight="1">
      <c r="A75" s="28" t="s">
        <v>167</v>
      </c>
      <c r="B75" s="28" t="s">
        <v>33</v>
      </c>
      <c r="C75" s="29" t="str">
        <f>IFERROR(__xludf.DUMMYFUNCTION("""COMPUTED_VALUE"""),"Sara Aracelly Alvarado Da Souza ")</f>
        <v>Sara Aracelly Alvarado Da Souza </v>
      </c>
      <c r="E75" s="29" t="str">
        <f>IFERROR(__xludf.DUMMYFUNCTION("""COMPUTED_VALUE"""),"Pulsera colgante con dos retratos adelante y uno atras")</f>
        <v>Pulsera colgante con dos retratos adelante y uno atras</v>
      </c>
      <c r="F75" s="23">
        <v>45999.0</v>
      </c>
      <c r="G75" s="23"/>
      <c r="H75" s="23">
        <v>46003.0</v>
      </c>
      <c r="I75" s="29">
        <f>IFERROR(__xludf.DUMMYFUNCTION("""COMPUTED_VALUE"""),1.0)</f>
        <v>1</v>
      </c>
      <c r="K75" s="29" t="str">
        <f>IFERROR(__xludf.DUMMYFUNCTION("""COMPUTED_VALUE"""),"Si")</f>
        <v>Si</v>
      </c>
      <c r="L75" s="29" t="str">
        <f>IFERROR(__xludf.DUMMYFUNCTION("""COMPUTED_VALUE"""),"X")</f>
        <v>X</v>
      </c>
      <c r="O75" s="28">
        <v>129.0</v>
      </c>
      <c r="P75" s="28">
        <v>0.0</v>
      </c>
      <c r="Q75" s="28">
        <v>129.0</v>
      </c>
      <c r="R75" s="28">
        <v>0.0</v>
      </c>
      <c r="S75" s="28">
        <v>129.0</v>
      </c>
      <c r="W75" s="29">
        <f>IFERROR(__xludf.DUMMYFUNCTION("""COMPUTED_VALUE"""),9.59021302E8)</f>
        <v>959021302</v>
      </c>
      <c r="X75" s="29" t="str">
        <f>IFERROR(__xludf.DUMMYFUNCTION("""COMPUTED_VALUE"""),"Xx")</f>
        <v>Xx</v>
      </c>
      <c r="Y75" s="29" t="str">
        <f>IFERROR(__xludf.DUMMYFUNCTION("""COMPUTED_VALUE"""),"Xx")</f>
        <v>Xx</v>
      </c>
      <c r="Z75" s="29" t="str">
        <f>IFERROR(__xludf.DUMMYFUNCTION("""COMPUTED_VALUE"""),"Para mi")</f>
        <v>Para mi</v>
      </c>
      <c r="AB75" s="30" t="str">
        <f>IFERROR(__xludf.DUMMYFUNCTION("""COMPUTED_VALUE"""),"Sandra")</f>
        <v>Sandra</v>
      </c>
      <c r="AC75" s="28" t="s">
        <v>168</v>
      </c>
      <c r="AD75" s="29" t="str">
        <f>IFERROR(__xludf.DUMMYFUNCTION("""COMPUTED_VALUE"""),"Xx")</f>
        <v>Xx</v>
      </c>
      <c r="AE75" s="29" t="str">
        <f>IFERROR(__xludf.DUMMYFUNCTION("""COMPUTED_VALUE"""),"La mascotita ya está en el arcoiris 🌈🙏")</f>
        <v>La mascotita ya está en el arcoiris 🌈🙏</v>
      </c>
    </row>
    <row r="76" ht="15.75" customHeight="1">
      <c r="A76" s="28" t="s">
        <v>169</v>
      </c>
      <c r="B76" s="28" t="s">
        <v>33</v>
      </c>
      <c r="C76" s="29" t="str">
        <f>IFERROR(__xludf.DUMMYFUNCTION("""COMPUTED_VALUE"""),"Maissie Vasquez ")</f>
        <v>Maissie Vasquez </v>
      </c>
      <c r="E76" s="29" t="str">
        <f>IFERROR(__xludf.DUMMYFUNCTION("""COMPUTED_VALUE"""),"Pulsera con huellita ")</f>
        <v>Pulsera con huellita </v>
      </c>
      <c r="F76" s="23">
        <v>46000.0</v>
      </c>
      <c r="G76" s="23"/>
      <c r="H76" s="23">
        <v>46003.0</v>
      </c>
      <c r="I76" s="29">
        <f>IFERROR(__xludf.DUMMYFUNCTION("""COMPUTED_VALUE"""),1.0)</f>
        <v>1</v>
      </c>
      <c r="K76" s="29" t="str">
        <f>IFERROR(__xludf.DUMMYFUNCTION("""COMPUTED_VALUE"""),"Si, el nombre “Moshi”")</f>
        <v>Si, el nombre “Moshi”</v>
      </c>
      <c r="L76" s="29" t="str">
        <f>IFERROR(__xludf.DUMMYFUNCTION("""COMPUTED_VALUE"""),"No")</f>
        <v>No</v>
      </c>
      <c r="O76" s="28">
        <v>69.0</v>
      </c>
      <c r="P76" s="28">
        <v>0.0</v>
      </c>
      <c r="Q76" s="28">
        <v>69.0</v>
      </c>
      <c r="R76" s="28">
        <v>0.0</v>
      </c>
      <c r="S76" s="28">
        <v>69.0</v>
      </c>
      <c r="W76" s="29">
        <f>IFERROR(__xludf.DUMMYFUNCTION("""COMPUTED_VALUE"""),9.60494344E8)</f>
        <v>960494344</v>
      </c>
      <c r="X76" s="29" t="str">
        <f>IFERROR(__xludf.DUMMYFUNCTION("""COMPUTED_VALUE"""),"No")</f>
        <v>No</v>
      </c>
      <c r="Y76" s="29" t="str">
        <f>IFERROR(__xludf.DUMMYFUNCTION("""COMPUTED_VALUE"""),"No")</f>
        <v>No</v>
      </c>
      <c r="Z76" s="29" t="str">
        <f>IFERROR(__xludf.DUMMYFUNCTION("""COMPUTED_VALUE"""),"Luciana")</f>
        <v>Luciana</v>
      </c>
      <c r="AB76" s="30" t="str">
        <f>IFERROR(__xludf.DUMMYFUNCTION("""COMPUTED_VALUE"""),"Sandra")</f>
        <v>Sandra</v>
      </c>
      <c r="AC76" s="28" t="s">
        <v>170</v>
      </c>
      <c r="AD76" s="29" t="str">
        <f>IFERROR(__xludf.DUMMYFUNCTION("""COMPUTED_VALUE"""),"Es para regalo ")</f>
        <v>Es para regalo </v>
      </c>
      <c r="AE76" s="29" t="str">
        <f>IFERROR(__xludf.DUMMYFUNCTION("""COMPUTED_VALUE"""),"La mascotita ya está en el arcoiris 🌈🙏")</f>
        <v>La mascotita ya está en el arcoiris 🌈🙏</v>
      </c>
    </row>
    <row r="77" ht="15.75" customHeight="1">
      <c r="A77" s="28" t="s">
        <v>171</v>
      </c>
      <c r="B77" s="28" t="s">
        <v>33</v>
      </c>
      <c r="C77" s="29" t="str">
        <f>IFERROR(__xludf.DUMMYFUNCTION("""COMPUTED_VALUE"""),"Trinidad arana")</f>
        <v>Trinidad arana</v>
      </c>
      <c r="E77" s="29" t="str">
        <f>IFERROR(__xludf.DUMMYFUNCTION("""COMPUTED_VALUE"""),"P08 Pulsera con cadena s/169")</f>
        <v>P08 Pulsera con cadena s/169</v>
      </c>
      <c r="F77" s="23">
        <v>46000.0</v>
      </c>
      <c r="G77" s="23"/>
      <c r="H77" s="23">
        <v>46003.0</v>
      </c>
      <c r="I77" s="29">
        <f>IFERROR(__xludf.DUMMYFUNCTION("""COMPUTED_VALUE"""),1.0)</f>
        <v>1</v>
      </c>
      <c r="K77" s="29" t="str">
        <f>IFERROR(__xludf.DUMMYFUNCTION("""COMPUTED_VALUE"""),"Greta")</f>
        <v>Greta</v>
      </c>
      <c r="L77" s="29" t="str">
        <f>IFERROR(__xludf.DUMMYFUNCTION("""COMPUTED_VALUE"""),"No")</f>
        <v>No</v>
      </c>
      <c r="O77" s="28">
        <v>169.0</v>
      </c>
      <c r="P77" s="28">
        <v>0.0</v>
      </c>
      <c r="Q77" s="28">
        <v>169.0</v>
      </c>
      <c r="R77" s="28">
        <v>0.0</v>
      </c>
      <c r="S77" s="28">
        <v>169.0</v>
      </c>
      <c r="W77" s="29">
        <f>IFERROR(__xludf.DUMMYFUNCTION("""COMPUTED_VALUE"""),9.93907112E8)</f>
        <v>993907112</v>
      </c>
      <c r="X77" s="29" t="str">
        <f>IFERROR(__xludf.DUMMYFUNCTION("""COMPUTED_VALUE"""),"No")</f>
        <v>No</v>
      </c>
      <c r="Y77" s="29" t="str">
        <f>IFERROR(__xludf.DUMMYFUNCTION("""COMPUTED_VALUE"""),"No")</f>
        <v>No</v>
      </c>
      <c r="Z77" s="29" t="str">
        <f>IFERROR(__xludf.DUMMYFUNCTION("""COMPUTED_VALUE"""),"Hermana")</f>
        <v>Hermana</v>
      </c>
      <c r="AB77" s="30" t="str">
        <f>IFERROR(__xludf.DUMMYFUNCTION("""COMPUTED_VALUE"""),"Sandra")</f>
        <v>Sandra</v>
      </c>
      <c r="AD77" s="29" t="str">
        <f>IFERROR(__xludf.DUMMYFUNCTION("""COMPUTED_VALUE"""),"Confirmar si la.lmagen enviada está bien o debería conseguir otra foto para que salga totalmente bien gracias ")</f>
        <v>Confirmar si la.lmagen enviada está bien o debería conseguir otra foto para que salga totalmente bien gracias </v>
      </c>
      <c r="AE77" s="29" t="str">
        <f>IFERROR(__xludf.DUMMYFUNCTION("""COMPUTED_VALUE"""),"No es de mascotita")</f>
        <v>No es de mascotita</v>
      </c>
    </row>
    <row r="78" ht="15.75" customHeight="1">
      <c r="A78" s="28" t="s">
        <v>172</v>
      </c>
      <c r="B78" s="28" t="s">
        <v>33</v>
      </c>
      <c r="C78" s="29" t="str">
        <f>IFERROR(__xludf.DUMMYFUNCTION("""COMPUTED_VALUE"""),"sandra")</f>
        <v>sandra</v>
      </c>
      <c r="E78" s="29" t="str">
        <f>IFERROR(__xludf.DUMMYFUNCTION("""COMPUTED_VALUE"""),"impresion de prueba")</f>
        <v>impresion de prueba</v>
      </c>
      <c r="F78" s="23">
        <v>46000.0</v>
      </c>
      <c r="G78" s="23"/>
      <c r="H78" s="23">
        <v>46001.0</v>
      </c>
      <c r="I78" s="29">
        <f>IFERROR(__xludf.DUMMYFUNCTION("""COMPUTED_VALUE"""),1.0)</f>
        <v>1</v>
      </c>
      <c r="K78" s="29" t="str">
        <f>IFERROR(__xludf.DUMMYFUNCTION("""COMPUTED_VALUE"""),"x")</f>
        <v>x</v>
      </c>
      <c r="L78" s="29" t="str">
        <f>IFERROR(__xludf.DUMMYFUNCTION("""COMPUTED_VALUE"""),"no")</f>
        <v>no</v>
      </c>
      <c r="O78" s="28">
        <v>0.0</v>
      </c>
      <c r="P78" s="28">
        <v>0.0</v>
      </c>
      <c r="Q78" s="28">
        <v>1.0</v>
      </c>
      <c r="R78" s="28">
        <v>0.0</v>
      </c>
      <c r="S78" s="28">
        <v>1.0</v>
      </c>
      <c r="W78" s="29" t="str">
        <f>IFERROR(__xludf.DUMMYFUNCTION("""COMPUTED_VALUE"""),"xx")</f>
        <v>xx</v>
      </c>
      <c r="X78" s="29" t="str">
        <f>IFERROR(__xludf.DUMMYFUNCTION("""COMPUTED_VALUE"""),"x")</f>
        <v>x</v>
      </c>
      <c r="Y78" s="29" t="str">
        <f>IFERROR(__xludf.DUMMYFUNCTION("""COMPUTED_VALUE"""),"x")</f>
        <v>x</v>
      </c>
      <c r="Z78" s="29" t="str">
        <f>IFERROR(__xludf.DUMMYFUNCTION("""COMPUTED_VALUE"""),"Para mi")</f>
        <v>Para mi</v>
      </c>
      <c r="AB78" s="30" t="str">
        <f>IFERROR(__xludf.DUMMYFUNCTION("""COMPUTED_VALUE"""),"Sandra")</f>
        <v>Sandra</v>
      </c>
      <c r="AD78" s="29" t="str">
        <f>IFERROR(__xludf.DUMMYFUNCTION("""COMPUTED_VALUE"""),"x")</f>
        <v>x</v>
      </c>
      <c r="AE78" s="29" t="str">
        <f>IFERROR(__xludf.DUMMYFUNCTION("""COMPUTED_VALUE"""),"La mascotita ya está en el arcoiris 🌈🙏")</f>
        <v>La mascotita ya está en el arcoiris 🌈🙏</v>
      </c>
    </row>
    <row r="79" ht="15.75" customHeight="1">
      <c r="A79" s="28" t="s">
        <v>173</v>
      </c>
      <c r="B79" s="28" t="s">
        <v>33</v>
      </c>
      <c r="C79" s="29" t="str">
        <f>IFERROR(__xludf.DUMMYFUNCTION("""COMPUTED_VALUE"""),"Jorge André ")</f>
        <v>Jorge André </v>
      </c>
      <c r="E79" s="29" t="str">
        <f>IFERROR(__xludf.DUMMYFUNCTION("""COMPUTED_VALUE"""),"CL02 Collar dije circular 2cm s/169")</f>
        <v>CL02 Collar dije circular 2cm s/169</v>
      </c>
      <c r="F79" s="23">
        <v>46000.0</v>
      </c>
      <c r="G79" s="23"/>
      <c r="H79" s="23">
        <v>46004.0</v>
      </c>
      <c r="I79" s="29">
        <f>IFERROR(__xludf.DUMMYFUNCTION("""COMPUTED_VALUE"""),1.0)</f>
        <v>1</v>
      </c>
      <c r="K79" s="29" t="str">
        <f>IFERROR(__xludf.DUMMYFUNCTION("""COMPUTED_VALUE"""),"No")</f>
        <v>No</v>
      </c>
      <c r="L79" s="29" t="str">
        <f>IFERROR(__xludf.DUMMYFUNCTION("""COMPUTED_VALUE"""),"No")</f>
        <v>No</v>
      </c>
      <c r="M79" s="28" t="s">
        <v>36</v>
      </c>
      <c r="O79" s="28">
        <v>169.0</v>
      </c>
      <c r="P79" s="28">
        <v>12.0</v>
      </c>
      <c r="Q79" s="28">
        <v>181.0</v>
      </c>
      <c r="R79" s="28">
        <v>90.5</v>
      </c>
      <c r="S79" s="28">
        <v>90.5</v>
      </c>
      <c r="W79" s="29">
        <f>IFERROR(__xludf.DUMMYFUNCTION("""COMPUTED_VALUE"""),9.89169868E8)</f>
        <v>989169868</v>
      </c>
      <c r="X79" s="29" t="str">
        <f>IFERROR(__xludf.DUMMYFUNCTION("""COMPUTED_VALUE"""),"No")</f>
        <v>No</v>
      </c>
      <c r="Y79" s="29" t="str">
        <f>IFERROR(__xludf.DUMMYFUNCTION("""COMPUTED_VALUE"""),"Jorge André Gutiérrez Muñoz 989169869 DNI 47364836")</f>
        <v>Jorge André Gutiérrez Muñoz 989169869 DNI 47364836</v>
      </c>
      <c r="Z79" s="29" t="str">
        <f>IFERROR(__xludf.DUMMYFUNCTION("""COMPUTED_VALUE"""),"Mamá ")</f>
        <v>Mamá </v>
      </c>
      <c r="AB79" s="30" t="str">
        <f>IFERROR(__xludf.DUMMYFUNCTION("""COMPUTED_VALUE"""),"Sandra")</f>
        <v>Sandra</v>
      </c>
      <c r="AD79" s="29" t="str">
        <f>IFERROR(__xludf.DUMMYFUNCTION("""COMPUTED_VALUE"""),"Todo bien")</f>
        <v>Todo bien</v>
      </c>
      <c r="AE79" s="29" t="str">
        <f>IFERROR(__xludf.DUMMYFUNCTION("""COMPUTED_VALUE"""),"La mascotita está contigo  🐾🎉")</f>
        <v>La mascotita está contigo  🐾🎉</v>
      </c>
    </row>
    <row r="80" ht="15.75" customHeight="1">
      <c r="A80" s="28" t="s">
        <v>174</v>
      </c>
      <c r="B80" s="28" t="s">
        <v>33</v>
      </c>
      <c r="C80" s="29" t="str">
        <f>IFERROR(__xludf.DUMMYFUNCTION("""COMPUTED_VALUE"""),"Lorena Rodríguez ")</f>
        <v>Lorena Rodríguez </v>
      </c>
      <c r="E80" s="29" t="str">
        <f>IFERROR(__xludf.DUMMYFUNCTION("""COMPUTED_VALUE""")," huellita pulsera")</f>
        <v> huellita pulsera</v>
      </c>
      <c r="F80" s="23">
        <v>46001.0</v>
      </c>
      <c r="G80" s="23"/>
      <c r="H80" s="23">
        <v>46004.0</v>
      </c>
      <c r="I80" s="29">
        <f>IFERROR(__xludf.DUMMYFUNCTION("""COMPUTED_VALUE"""),1.0)</f>
        <v>1</v>
      </c>
      <c r="K80" s="29" t="str">
        <f>IFERROR(__xludf.DUMMYFUNCTION("""COMPUTED_VALUE"""),"Las fotos ")</f>
        <v>Las fotos </v>
      </c>
      <c r="L80" s="29" t="str">
        <f>IFERROR(__xludf.DUMMYFUNCTION("""COMPUTED_VALUE"""),"No")</f>
        <v>No</v>
      </c>
      <c r="O80" s="28">
        <v>45.0</v>
      </c>
      <c r="P80" s="28">
        <v>0.0</v>
      </c>
      <c r="Q80" s="28">
        <v>45.0</v>
      </c>
      <c r="R80" s="28">
        <v>0.0</v>
      </c>
      <c r="S80" s="28">
        <v>45.0</v>
      </c>
      <c r="W80" s="29">
        <f>IFERROR(__xludf.DUMMYFUNCTION("""COMPUTED_VALUE"""),9.92542502E8)</f>
        <v>992542502</v>
      </c>
      <c r="X80" s="29" t="str">
        <f>IFERROR(__xludf.DUMMYFUNCTION("""COMPUTED_VALUE"""),"Otorongo 165 Urb Maranga Distrito San Miguel ")</f>
        <v>Otorongo 165 Urb Maranga Distrito San Miguel </v>
      </c>
      <c r="Y80" s="29" t="str">
        <f>IFERROR(__xludf.DUMMYFUNCTION("""COMPUTED_VALUE"""),"No")</f>
        <v>No</v>
      </c>
      <c r="Z80" s="29" t="str">
        <f>IFERROR(__xludf.DUMMYFUNCTION("""COMPUTED_VALUE"""),"Regalos de navidad")</f>
        <v>Regalos de navidad</v>
      </c>
      <c r="AB80" s="30" t="str">
        <f>IFERROR(__xludf.DUMMYFUNCTION("""COMPUTED_VALUE"""),"Sandra")</f>
        <v>Sandra</v>
      </c>
      <c r="AC80" s="28" t="s">
        <v>175</v>
      </c>
      <c r="AD80" s="29" t="str">
        <f>IFERROR(__xludf.DUMMYFUNCTION("""COMPUTED_VALUE"""),"No")</f>
        <v>No</v>
      </c>
      <c r="AE80" s="29" t="str">
        <f>IFERROR(__xludf.DUMMYFUNCTION("""COMPUTED_VALUE"""),"La mascotita está contigo  🐾🎉")</f>
        <v>La mascotita está contigo  🐾🎉</v>
      </c>
    </row>
    <row r="81" ht="15.75" customHeight="1">
      <c r="A81" s="28" t="s">
        <v>176</v>
      </c>
      <c r="B81" s="28" t="s">
        <v>33</v>
      </c>
      <c r="C81" s="29" t="str">
        <f>IFERROR(__xludf.DUMMYFUNCTION("""COMPUTED_VALUE"""),"Richard Lazo")</f>
        <v>Richard Lazo</v>
      </c>
      <c r="E81" s="29" t="str">
        <f>IFERROR(__xludf.DUMMYFUNCTION("""COMPUTED_VALUE"""),"01 pulsera con cabecita de mascotita en silueta")</f>
        <v>01 pulsera con cabecita de mascotita en silueta</v>
      </c>
      <c r="F81" s="23">
        <v>46001.0</v>
      </c>
      <c r="G81" s="23"/>
      <c r="H81" s="23">
        <v>46004.0</v>
      </c>
      <c r="I81" s="29">
        <f>IFERROR(__xludf.DUMMYFUNCTION("""COMPUTED_VALUE"""),1.0)</f>
        <v>1</v>
      </c>
      <c r="K81" s="29" t="str">
        <f>IFERROR(__xludf.DUMMYFUNCTION("""COMPUTED_VALUE"""),"La cabeza de la mascota")</f>
        <v>La cabeza de la mascota</v>
      </c>
      <c r="L81" s="29" t="str">
        <f>IFERROR(__xludf.DUMMYFUNCTION("""COMPUTED_VALUE"""),"Sin grabado atras")</f>
        <v>Sin grabado atras</v>
      </c>
      <c r="M81" s="28" t="s">
        <v>36</v>
      </c>
      <c r="O81" s="28">
        <v>169.0</v>
      </c>
      <c r="P81" s="28">
        <v>0.0</v>
      </c>
      <c r="Q81" s="28">
        <v>169.0</v>
      </c>
      <c r="R81" s="28">
        <v>0.0</v>
      </c>
      <c r="S81" s="28">
        <v>169.0</v>
      </c>
      <c r="W81" s="29">
        <f>IFERROR(__xludf.DUMMYFUNCTION("""COMPUTED_VALUE"""),9.86836968E8)</f>
        <v>986836968</v>
      </c>
      <c r="X81" s="29" t="str">
        <f>IFERROR(__xludf.DUMMYFUNCTION("""COMPUTED_VALUE"""),"Recogere en jesus maria")</f>
        <v>Recogere en jesus maria</v>
      </c>
      <c r="Y81" s="29" t="str">
        <f>IFERROR(__xludf.DUMMYFUNCTION("""COMPUTED_VALUE"""),"Recogeré en jesus maria")</f>
        <v>Recogeré en jesus maria</v>
      </c>
      <c r="Z81" s="29" t="str">
        <f>IFERROR(__xludf.DUMMYFUNCTION("""COMPUTED_VALUE"""),"Regalo para mi enamorada")</f>
        <v>Regalo para mi enamorada</v>
      </c>
      <c r="AB81" s="30" t="str">
        <f>IFERROR(__xludf.DUMMYFUNCTION("""COMPUTED_VALUE"""),"Sandra")</f>
        <v>Sandra</v>
      </c>
      <c r="AC81" s="28" t="s">
        <v>177</v>
      </c>
      <c r="AD81" s="29" t="str">
        <f>IFERROR(__xludf.DUMMYFUNCTION("""COMPUTED_VALUE"""),".")</f>
        <v>.</v>
      </c>
      <c r="AE81" s="29" t="str">
        <f>IFERROR(__xludf.DUMMYFUNCTION("""COMPUTED_VALUE"""),"La mascotita está contigo  🐾🎉")</f>
        <v>La mascotita está contigo  🐾🎉</v>
      </c>
    </row>
    <row r="82" ht="15.75" customHeight="1">
      <c r="A82" s="28" t="s">
        <v>178</v>
      </c>
      <c r="B82" s="28" t="s">
        <v>33</v>
      </c>
      <c r="C82" s="29" t="str">
        <f>IFERROR(__xludf.DUMMYFUNCTION("""COMPUTED_VALUE"""),"Lorena Rodríguez ")</f>
        <v>Lorena Rodríguez </v>
      </c>
      <c r="E82" s="29" t="str">
        <f>IFERROR(__xludf.DUMMYFUNCTION("""COMPUTED_VALUE"""),"pulsera con 3 fotos")</f>
        <v>pulsera con 3 fotos</v>
      </c>
      <c r="F82" s="23">
        <v>46000.0</v>
      </c>
      <c r="G82" s="23"/>
      <c r="H82" s="23">
        <v>46004.0</v>
      </c>
      <c r="I82" s="29">
        <f>IFERROR(__xludf.DUMMYFUNCTION("""COMPUTED_VALUE"""),1.0)</f>
        <v>1</v>
      </c>
      <c r="K82" s="29" t="str">
        <f>IFERROR(__xludf.DUMMYFUNCTION("""COMPUTED_VALUE"""),"si ")</f>
        <v>si </v>
      </c>
      <c r="L82" s="29" t="str">
        <f>IFERROR(__xludf.DUMMYFUNCTION("""COMPUTED_VALUE"""),"no")</f>
        <v>no</v>
      </c>
      <c r="O82" s="28">
        <v>229.0</v>
      </c>
      <c r="P82" s="28">
        <v>0.0</v>
      </c>
      <c r="Q82" s="28">
        <v>229.0</v>
      </c>
      <c r="R82" s="28">
        <v>0.0</v>
      </c>
      <c r="S82" s="28">
        <v>229.0</v>
      </c>
      <c r="W82" s="29">
        <f>IFERROR(__xludf.DUMMYFUNCTION("""COMPUTED_VALUE"""),9.92542502E8)</f>
        <v>992542502</v>
      </c>
      <c r="X82" s="29" t="str">
        <f>IFERROR(__xludf.DUMMYFUNCTION("""COMPUTED_VALUE"""),"Otorongo 165 Urb Maranga Distrito San Miguel ")</f>
        <v>Otorongo 165 Urb Maranga Distrito San Miguel </v>
      </c>
      <c r="Y82" s="29" t="str">
        <f>IFERROR(__xludf.DUMMYFUNCTION("""COMPUTED_VALUE"""),"x")</f>
        <v>x</v>
      </c>
      <c r="Z82" s="29" t="str">
        <f>IFERROR(__xludf.DUMMYFUNCTION("""COMPUTED_VALUE"""),"Para mi")</f>
        <v>Para mi</v>
      </c>
      <c r="AB82" s="30" t="str">
        <f>IFERROR(__xludf.DUMMYFUNCTION("""COMPUTED_VALUE"""),"Sandra")</f>
        <v>Sandra</v>
      </c>
      <c r="AC82" s="28" t="s">
        <v>179</v>
      </c>
      <c r="AD82" s="29" t="str">
        <f>IFERROR(__xludf.DUMMYFUNCTION("""COMPUTED_VALUE"""),"xx")</f>
        <v>xx</v>
      </c>
      <c r="AE82" s="29" t="str">
        <f>IFERROR(__xludf.DUMMYFUNCTION("""COMPUTED_VALUE"""),"La mascotita ya está en el arcoiris 🌈🙏")</f>
        <v>La mascotita ya está en el arcoiris 🌈🙏</v>
      </c>
    </row>
    <row r="83" ht="15.75" customHeight="1">
      <c r="A83" s="28" t="s">
        <v>180</v>
      </c>
      <c r="B83" s="28" t="s">
        <v>33</v>
      </c>
      <c r="C83" s="29" t="str">
        <f>IFERROR(__xludf.DUMMYFUNCTION("""COMPUTED_VALUE"""),"Nashtienka miranda")</f>
        <v>Nashtienka miranda</v>
      </c>
      <c r="E83" s="29" t="str">
        <f>IFERROR(__xludf.DUMMYFUNCTION("""COMPUTED_VALUE"""),"Collar con dije con dos fotitos")</f>
        <v>Collar con dije con dos fotitos</v>
      </c>
      <c r="F83" s="23">
        <v>46001.0</v>
      </c>
      <c r="G83" s="23"/>
      <c r="H83" s="23">
        <v>46003.0</v>
      </c>
      <c r="I83" s="29">
        <f>IFERROR(__xludf.DUMMYFUNCTION("""COMPUTED_VALUE"""),1.0)</f>
        <v>1</v>
      </c>
      <c r="K83" s="29" t="str">
        <f>IFERROR(__xludf.DUMMYFUNCTION("""COMPUTED_VALUE"""),"Si, sashita")</f>
        <v>Si, sashita</v>
      </c>
      <c r="L83" s="29" t="str">
        <f>IFERROR(__xludf.DUMMYFUNCTION("""COMPUTED_VALUE"""),"No")</f>
        <v>No</v>
      </c>
      <c r="O83" s="28">
        <v>195.0</v>
      </c>
      <c r="P83" s="28">
        <v>12.0</v>
      </c>
      <c r="Q83" s="28">
        <v>207.0</v>
      </c>
      <c r="R83" s="28">
        <v>0.0</v>
      </c>
      <c r="S83" s="28">
        <v>207.0</v>
      </c>
      <c r="W83" s="29">
        <f>IFERROR(__xludf.DUMMYFUNCTION("""COMPUTED_VALUE"""),9.32173308E8)</f>
        <v>932173308</v>
      </c>
      <c r="X83" s="29" t="str">
        <f>IFERROR(__xludf.DUMMYFUNCTION("""COMPUTED_VALUE"""),"No")</f>
        <v>No</v>
      </c>
      <c r="Y83" s="29" t="str">
        <f>IFERROR(__xludf.DUMMYFUNCTION("""COMPUTED_VALUE"""),"Nashtienka irina miranda gamboa  , 932173308, 45732424, agencia shalom de la av perú smp")</f>
        <v>Nashtienka irina miranda gamboa  , 932173308, 45732424, agencia shalom de la av perú smp</v>
      </c>
      <c r="Z83" s="29" t="str">
        <f>IFERROR(__xludf.DUMMYFUNCTION("""COMPUTED_VALUE"""),"Para mi")</f>
        <v>Para mi</v>
      </c>
      <c r="AB83" s="30" t="str">
        <f>IFERROR(__xludf.DUMMYFUNCTION("""COMPUTED_VALUE"""),"Sandra")</f>
        <v>Sandra</v>
      </c>
      <c r="AD83" s="29" t="str">
        <f>IFERROR(__xludf.DUMMYFUNCTION("""COMPUTED_VALUE"""),"No , ninguna")</f>
        <v>No , ninguna</v>
      </c>
      <c r="AE83" s="29" t="str">
        <f>IFERROR(__xludf.DUMMYFUNCTION("""COMPUTED_VALUE"""),"La mascotita ya está en el arcoiris 🌈🙏")</f>
        <v>La mascotita ya está en el arcoiris 🌈🙏</v>
      </c>
    </row>
    <row r="84" ht="15.75" customHeight="1">
      <c r="A84" s="28" t="s">
        <v>181</v>
      </c>
      <c r="B84" s="28" t="s">
        <v>33</v>
      </c>
      <c r="C84" s="29" t="str">
        <f>IFERROR(__xludf.DUMMYFUNCTION("""COMPUTED_VALUE"""),"Zoila Cardenas Z")</f>
        <v>Zoila Cardenas Z</v>
      </c>
      <c r="E84" s="29" t="str">
        <f>IFERROR(__xludf.DUMMYFUNCTION("""COMPUTED_VALUE"""),"Dije de huellita con cadenita ")</f>
        <v>Dije de huellita con cadenita </v>
      </c>
      <c r="F84" s="23">
        <v>46002.0</v>
      </c>
      <c r="G84" s="23"/>
      <c r="H84" s="23">
        <v>46006.0</v>
      </c>
      <c r="I84" s="29">
        <f>IFERROR(__xludf.DUMMYFUNCTION("""COMPUTED_VALUE"""),1.0)</f>
        <v>1</v>
      </c>
      <c r="K84" s="29" t="str">
        <f>IFERROR(__xludf.DUMMYFUNCTION("""COMPUTED_VALUE"""),"Patita de perrito huellita y nombre")</f>
        <v>Patita de perrito huellita y nombre</v>
      </c>
      <c r="L84" s="29" t="str">
        <f>IFERROR(__xludf.DUMMYFUNCTION("""COMPUTED_VALUE"""),"No")</f>
        <v>No</v>
      </c>
      <c r="O84" s="28">
        <v>119.0</v>
      </c>
      <c r="P84" s="28">
        <v>12.0</v>
      </c>
      <c r="Q84" s="28">
        <v>131.0</v>
      </c>
      <c r="R84" s="28">
        <v>0.0</v>
      </c>
      <c r="S84" s="28">
        <v>131.0</v>
      </c>
      <c r="W84" s="29">
        <f>IFERROR(__xludf.DUMMYFUNCTION("""COMPUTED_VALUE"""),9.88951414E8)</f>
        <v>988951414</v>
      </c>
      <c r="X84" s="29" t="str">
        <f>IFERROR(__xludf.DUMMYFUNCTION("""COMPUTED_VALUE"""),"Jr Los Cedros 116 dpto 602 urb Valle Hermoso Survo (entre jacaranda y Cristóbal de Peralta espalda tienda Casainelli)")</f>
        <v>Jr Los Cedros 116 dpto 602 urb Valle Hermoso Survo (entre jacaranda y Cristóbal de Peralta espalda tienda Casainelli)</v>
      </c>
      <c r="Y84" s="29" t="str">
        <f>IFERROR(__xludf.DUMMYFUNCTION("""COMPUTED_VALUE"""),"No")</f>
        <v>No</v>
      </c>
      <c r="Z84" s="29" t="str">
        <f>IFERROR(__xludf.DUMMYFUNCTION("""COMPUTED_VALUE"""),"Para mi")</f>
        <v>Para mi</v>
      </c>
      <c r="AB84" s="30" t="str">
        <f>IFERROR(__xludf.DUMMYFUNCTION("""COMPUTED_VALUE"""),"Sandra")</f>
        <v>Sandra</v>
      </c>
      <c r="AC84" s="28" t="s">
        <v>182</v>
      </c>
      <c r="AD84" s="29" t="str">
        <f>IFERROR(__xludf.DUMMYFUNCTION("""COMPUTED_VALUE"""),"Lo necesito urgente a más tardar el martes o miércoles se lo llevarán fuera")</f>
        <v>Lo necesito urgente a más tardar el martes o miércoles se lo llevarán fuera</v>
      </c>
      <c r="AE84" s="29" t="str">
        <f>IFERROR(__xludf.DUMMYFUNCTION("""COMPUTED_VALUE"""),"La mascotita está contigo  🐾🎉")</f>
        <v>La mascotita está contigo  🐾🎉</v>
      </c>
    </row>
    <row r="85" ht="15.75" customHeight="1">
      <c r="A85" s="28" t="s">
        <v>183</v>
      </c>
      <c r="B85" s="28" t="s">
        <v>33</v>
      </c>
      <c r="C85" s="29" t="str">
        <f>IFERROR(__xludf.DUMMYFUNCTION("""COMPUTED_VALUE"""),"Tatiana Jamis Mori")</f>
        <v>Tatiana Jamis Mori</v>
      </c>
      <c r="E85" s="29" t="str">
        <f>IFERROR(__xludf.DUMMYFUNCTION("""COMPUTED_VALUE"""),"P07 Pulsera con hilo negro dije circular s/149")</f>
        <v>P07 Pulsera con hilo negro dije circular s/149</v>
      </c>
      <c r="F85" s="23">
        <v>46003.0</v>
      </c>
      <c r="G85" s="23"/>
      <c r="H85" s="23">
        <v>46007.0</v>
      </c>
      <c r="I85" s="29">
        <f>IFERROR(__xludf.DUMMYFUNCTION("""COMPUTED_VALUE"""),2.0)</f>
        <v>2</v>
      </c>
      <c r="K85" s="29" t="str">
        <f>IFERROR(__xludf.DUMMYFUNCTION("""COMPUTED_VALUE"""),"Sí, la cara de la perrita y el nombre FRIDA")</f>
        <v>Sí, la cara de la perrita y el nombre FRIDA</v>
      </c>
      <c r="L85" s="29" t="str">
        <f>IFERROR(__xludf.DUMMYFUNCTION("""COMPUTED_VALUE"""),"Negrita ")</f>
        <v>Negrita </v>
      </c>
      <c r="O85" s="28">
        <v>298.0</v>
      </c>
      <c r="P85" s="28">
        <v>0.0</v>
      </c>
      <c r="Q85" s="28">
        <v>298.0</v>
      </c>
      <c r="R85" s="28">
        <v>149.0</v>
      </c>
      <c r="S85" s="28">
        <v>149.0</v>
      </c>
      <c r="W85" s="29">
        <f>IFERROR(__xludf.DUMMYFUNCTION("""COMPUTED_VALUE"""),9.87769799E8)</f>
        <v>987769799</v>
      </c>
      <c r="X85" s="29" t="str">
        <f>IFERROR(__xludf.DUMMYFUNCTION("""COMPUTED_VALUE"""),"Jr. José María Galdeano y Mendoza 1088, cercado de Lima. Altuda cuada 16 de Av. Colonial. ")</f>
        <v>Jr. José María Galdeano y Mendoza 1088, cercado de Lima. Altuda cuada 16 de Av. Colonial. </v>
      </c>
      <c r="Y85" s="29" t="str">
        <f>IFERROR(__xludf.DUMMYFUNCTION("""COMPUTED_VALUE"""),"Tatiana Jamis Mori, celular 987769799, DNI 09802974")</f>
        <v>Tatiana Jamis Mori, celular 987769799, DNI 09802974</v>
      </c>
      <c r="Z85" s="29" t="str">
        <f>IFERROR(__xludf.DUMMYFUNCTION("""COMPUTED_VALUE"""),"Mi hermana")</f>
        <v>Mi hermana</v>
      </c>
      <c r="AB85" s="30" t="str">
        <f>IFERROR(__xludf.DUMMYFUNCTION("""COMPUTED_VALUE"""),"Sandra")</f>
        <v>Sandra</v>
      </c>
      <c r="AC85" s="28" t="s">
        <v>184</v>
      </c>
      <c r="AD85" s="29" t="str">
        <f>IFERROR(__xludf.DUMMYFUNCTION("""COMPUTED_VALUE"""),"La mascotita está enferma a punto de partir, el regalo es para mi hermana que es la dueña y para su cuidadora.")</f>
        <v>La mascotita está enferma a punto de partir, el regalo es para mi hermana que es la dueña y para su cuidadora.</v>
      </c>
      <c r="AE85" s="29" t="str">
        <f>IFERROR(__xludf.DUMMYFUNCTION("""COMPUTED_VALUE"""),"La mascotita ya está en el arcoiris 🌈🙏")</f>
        <v>La mascotita ya está en el arcoiris 🌈🙏</v>
      </c>
    </row>
    <row r="86" ht="15.75" customHeight="1">
      <c r="A86" s="28" t="s">
        <v>185</v>
      </c>
      <c r="B86" s="28" t="s">
        <v>33</v>
      </c>
      <c r="C86" s="29" t="str">
        <f>IFERROR(__xludf.DUMMYFUNCTION("""COMPUTED_VALUE"""),"GERALDO RAMOS SALDARRIAGA ")</f>
        <v>GERALDO RAMOS SALDARRIAGA </v>
      </c>
      <c r="E86" s="29" t="str">
        <f>IFERROR(__xludf.DUMMYFUNCTION("""COMPUTED_VALUE"""),"Pedidos")</f>
        <v>Pedidos</v>
      </c>
      <c r="F86" s="23">
        <v>46004.0</v>
      </c>
      <c r="G86" s="23"/>
      <c r="H86" s="23">
        <v>46006.0</v>
      </c>
      <c r="I86" s="29">
        <f>IFERROR(__xludf.DUMMYFUNCTION("""COMPUTED_VALUE"""),2.0)</f>
        <v>2</v>
      </c>
      <c r="K86" s="29" t="str">
        <f>IFERROR(__xludf.DUMMYFUNCTION("""COMPUTED_VALUE"""),"No")</f>
        <v>No</v>
      </c>
      <c r="L86" s="29" t="str">
        <f>IFERROR(__xludf.DUMMYFUNCTION("""COMPUTED_VALUE"""),"No")</f>
        <v>No</v>
      </c>
      <c r="O86" s="28">
        <v>130.0</v>
      </c>
      <c r="P86" s="28">
        <v>0.0</v>
      </c>
      <c r="Q86" s="28">
        <v>130.0</v>
      </c>
      <c r="R86" s="28">
        <v>65.0</v>
      </c>
      <c r="S86" s="28">
        <v>65.0</v>
      </c>
      <c r="W86" s="29">
        <f>IFERROR(__xludf.DUMMYFUNCTION("""COMPUTED_VALUE"""),9.4535113E8)</f>
        <v>945351130</v>
      </c>
      <c r="X86" s="29" t="str">
        <f>IFERROR(__xludf.DUMMYFUNCTION("""COMPUTED_VALUE"""),"Calle José María de Arce 363 San Miguel ")</f>
        <v>Calle José María de Arce 363 San Miguel </v>
      </c>
      <c r="Y86" s="29" t="str">
        <f>IFERROR(__xludf.DUMMYFUNCTION("""COMPUTED_VALUE"""),"No")</f>
        <v>No</v>
      </c>
      <c r="Z86" s="29" t="str">
        <f>IFERROR(__xludf.DUMMYFUNCTION("""COMPUTED_VALUE"""),"Psdres")</f>
        <v>Psdres</v>
      </c>
      <c r="AB86" s="30" t="str">
        <f>IFERROR(__xludf.DUMMYFUNCTION("""COMPUTED_VALUE"""),"Sandra")</f>
        <v>Sandra</v>
      </c>
      <c r="AC86" s="28" t="s">
        <v>186</v>
      </c>
      <c r="AD86" s="29" t="str">
        <f>IFERROR(__xludf.DUMMYFUNCTION("""COMPUTED_VALUE"""),"Nombre de la mascota ASHA ")</f>
        <v>Nombre de la mascota ASHA </v>
      </c>
      <c r="AE86" s="29" t="str">
        <f>IFERROR(__xludf.DUMMYFUNCTION("""COMPUTED_VALUE"""),"La mascotita ya está en el arcoiris 🌈🙏")</f>
        <v>La mascotita ya está en el arcoiris 🌈🙏</v>
      </c>
    </row>
    <row r="87" ht="15.75" customHeight="1">
      <c r="A87" s="28" t="s">
        <v>187</v>
      </c>
      <c r="B87" s="28" t="s">
        <v>33</v>
      </c>
      <c r="C87" s="29" t="str">
        <f>IFERROR(__xludf.DUMMYFUNCTION("""COMPUTED_VALUE"""),"Josef Ronie Cambillo Abanto ")</f>
        <v>Josef Ronie Cambillo Abanto </v>
      </c>
      <c r="E87" s="29" t="str">
        <f>IFERROR(__xludf.DUMMYFUNCTION("""COMPUTED_VALUE"""),"Pulsera ajustable con dije schnauzer en plata con nombre personalizado")</f>
        <v>Pulsera ajustable con dije schnauzer en plata con nombre personalizado</v>
      </c>
      <c r="F87" s="23">
        <v>46003.0</v>
      </c>
      <c r="G87" s="23"/>
      <c r="H87" s="23">
        <v>46006.0</v>
      </c>
      <c r="I87" s="29">
        <f>IFERROR(__xludf.DUMMYFUNCTION("""COMPUTED_VALUE"""),1.0)</f>
        <v>1</v>
      </c>
      <c r="K87" s="29" t="str">
        <f>IFERROR(__xludf.DUMMYFUNCTION("""COMPUTED_VALUE"""),"Si")</f>
        <v>Si</v>
      </c>
      <c r="L87" s="29" t="str">
        <f>IFERROR(__xludf.DUMMYFUNCTION("""COMPUTED_VALUE"""),"No")</f>
        <v>No</v>
      </c>
      <c r="O87" s="28">
        <v>69.0</v>
      </c>
      <c r="P87" s="28">
        <v>0.0</v>
      </c>
      <c r="Q87" s="28">
        <v>69.0</v>
      </c>
      <c r="R87" s="28">
        <v>0.0</v>
      </c>
      <c r="S87" s="28">
        <v>69.0</v>
      </c>
      <c r="W87" s="29">
        <f>IFERROR(__xludf.DUMMYFUNCTION("""COMPUTED_VALUE"""),9.67964062E8)</f>
        <v>967964062</v>
      </c>
      <c r="X87" s="29" t="str">
        <f>IFERROR(__xludf.DUMMYFUNCTION("""COMPUTED_VALUE"""),"Av. Militar 1570 Lince / Lucero Delia Huaman Ruiz / 956004985")</f>
        <v>Av. Militar 1570 Lince / Lucero Delia Huaman Ruiz / 956004985</v>
      </c>
      <c r="Y87" s="29" t="str">
        <f>IFERROR(__xludf.DUMMYFUNCTION("""COMPUTED_VALUE"""),"No")</f>
        <v>No</v>
      </c>
      <c r="Z87" s="29" t="str">
        <f>IFERROR(__xludf.DUMMYFUNCTION("""COMPUTED_VALUE"""),"Para mi")</f>
        <v>Para mi</v>
      </c>
      <c r="AB87" s="30" t="str">
        <f>IFERROR(__xludf.DUMMYFUNCTION("""COMPUTED_VALUE"""),"Sandra")</f>
        <v>Sandra</v>
      </c>
      <c r="AC87" s="28" t="s">
        <v>188</v>
      </c>
      <c r="AD87" s="29" t="str">
        <f>IFERROR(__xludf.DUMMYFUNCTION("""COMPUTED_VALUE"""),"El nombre de mi mascota es: Toretto
Tal cual el nombre de mi mascota la primera letra en mayúscula y luego minúsculas.")</f>
        <v>El nombre de mi mascota es: Toretto
Tal cual el nombre de mi mascota la primera letra en mayúscula y luego minúsculas.</v>
      </c>
      <c r="AE87" s="29" t="str">
        <f>IFERROR(__xludf.DUMMYFUNCTION("""COMPUTED_VALUE"""),"La mascotita ya está en el arcoiris 🌈🙏")</f>
        <v>La mascotita ya está en el arcoiris 🌈🙏</v>
      </c>
    </row>
    <row r="88" ht="15.75" customHeight="1">
      <c r="A88" s="28" t="s">
        <v>189</v>
      </c>
      <c r="B88" s="28" t="s">
        <v>33</v>
      </c>
      <c r="C88" s="29" t="str">
        <f>IFERROR(__xludf.DUMMYFUNCTION("""COMPUTED_VALUE"""),"Miriam")</f>
        <v>Miriam</v>
      </c>
      <c r="E88" s="29" t="str">
        <f>IFERROR(__xludf.DUMMYFUNCTION("""COMPUTED_VALUE"""),"CL02 Collar dije circular 2cm s/169")</f>
        <v>CL02 Collar dije circular 2cm s/169</v>
      </c>
      <c r="F88" s="23">
        <v>46002.0</v>
      </c>
      <c r="G88" s="23"/>
      <c r="H88" s="23">
        <v>46007.0</v>
      </c>
      <c r="I88" s="29">
        <f>IFERROR(__xludf.DUMMYFUNCTION("""COMPUTED_VALUE"""),1.0)</f>
        <v>1</v>
      </c>
      <c r="K88" s="29" t="str">
        <f>IFERROR(__xludf.DUMMYFUNCTION("""COMPUTED_VALUE"""),"Si")</f>
        <v>Si</v>
      </c>
      <c r="L88" s="29" t="str">
        <f>IFERROR(__xludf.DUMMYFUNCTION("""COMPUTED_VALUE"""),"Si")</f>
        <v>Si</v>
      </c>
      <c r="O88" s="28">
        <v>159.0</v>
      </c>
      <c r="P88" s="28">
        <v>1.0</v>
      </c>
      <c r="Q88" s="28">
        <v>2.0</v>
      </c>
      <c r="R88" s="28">
        <v>0.0</v>
      </c>
      <c r="S88" s="28">
        <v>2.0</v>
      </c>
      <c r="W88" s="29" t="str">
        <f>IFERROR(__xludf.DUMMYFUNCTION("""COMPUTED_VALUE"""),"Xx")</f>
        <v>Xx</v>
      </c>
      <c r="X88" s="29" t="str">
        <f>IFERROR(__xludf.DUMMYFUNCTION("""COMPUTED_VALUE"""),"Ana")</f>
        <v>Ana</v>
      </c>
      <c r="Y88" s="29" t="str">
        <f>IFERROR(__xludf.DUMMYFUNCTION("""COMPUTED_VALUE"""),"No")</f>
        <v>No</v>
      </c>
      <c r="Z88" s="29" t="str">
        <f>IFERROR(__xludf.DUMMYFUNCTION("""COMPUTED_VALUE"""),"Para mi")</f>
        <v>Para mi</v>
      </c>
      <c r="AB88" s="30" t="str">
        <f>IFERROR(__xludf.DUMMYFUNCTION("""COMPUTED_VALUE"""),"Sandra")</f>
        <v>Sandra</v>
      </c>
      <c r="AC88" s="28" t="s">
        <v>190</v>
      </c>
      <c r="AD88" s="29" t="str">
        <f>IFERROR(__xludf.DUMMYFUNCTION("""COMPUTED_VALUE"""),"Xx")</f>
        <v>Xx</v>
      </c>
      <c r="AE88" s="29" t="str">
        <f>IFERROR(__xludf.DUMMYFUNCTION("""COMPUTED_VALUE"""),"La mascotita ya está en el arcoiris 🌈🙏")</f>
        <v>La mascotita ya está en el arcoiris 🌈🙏</v>
      </c>
    </row>
    <row r="89" ht="15.75" customHeight="1">
      <c r="A89" s="28" t="s">
        <v>191</v>
      </c>
      <c r="B89" s="28" t="s">
        <v>33</v>
      </c>
      <c r="C89" s="29" t="str">
        <f>IFERROR(__xludf.DUMMYFUNCTION("""COMPUTED_VALUE"""),"Claudia Rospigliosi Baixarias")</f>
        <v>Claudia Rospigliosi Baixarias</v>
      </c>
      <c r="E89" s="29" t="str">
        <f>IFERROR(__xludf.DUMMYFUNCTION("""COMPUTED_VALUE"""),"DL01 Dije circular solo 1.5cm s/119, P07 Pulsera con hilo negro dije circular s/149, 1 pulcera y 2 dijes de 1.5")</f>
        <v>DL01 Dije circular solo 1.5cm s/119, P07 Pulsera con hilo negro dije circular s/149, 1 pulcera y 2 dijes de 1.5</v>
      </c>
      <c r="F89" s="23">
        <v>46007.0</v>
      </c>
      <c r="G89" s="23"/>
      <c r="H89" s="23">
        <v>46010.0</v>
      </c>
      <c r="I89" s="29">
        <f>IFERROR(__xludf.DUMMYFUNCTION("""COMPUTED_VALUE"""),3.0)</f>
        <v>3</v>
      </c>
      <c r="K89" s="29" t="str">
        <f>IFERROR(__xludf.DUMMYFUNCTION("""COMPUTED_VALUE"""),"si Motita")</f>
        <v>si Motita</v>
      </c>
      <c r="L89" s="29" t="str">
        <f>IFERROR(__xludf.DUMMYFUNCTION("""COMPUTED_VALUE"""),"no")</f>
        <v>no</v>
      </c>
      <c r="O89" s="28">
        <v>83.0</v>
      </c>
      <c r="P89" s="28">
        <v>0.0</v>
      </c>
      <c r="Q89" s="28">
        <v>0.0</v>
      </c>
      <c r="R89" s="28">
        <v>0.0</v>
      </c>
      <c r="S89" s="28">
        <v>2.0</v>
      </c>
      <c r="W89" s="29">
        <f>IFERROR(__xludf.DUMMYFUNCTION("""COMPUTED_VALUE"""),9.71995125E8)</f>
        <v>971995125</v>
      </c>
      <c r="X89" s="29" t="str">
        <f>IFERROR(__xludf.DUMMYFUNCTION("""COMPUTED_VALUE"""),"yo envio. ")</f>
        <v>yo envio. </v>
      </c>
      <c r="Y89" s="29" t="str">
        <f>IFERROR(__xludf.DUMMYFUNCTION("""COMPUTED_VALUE"""),"x")</f>
        <v>x</v>
      </c>
      <c r="Z89" s="29" t="str">
        <f>IFERROR(__xludf.DUMMYFUNCTION("""COMPUTED_VALUE"""),"Para mi")</f>
        <v>Para mi</v>
      </c>
      <c r="AB89" s="30" t="str">
        <f>IFERROR(__xludf.DUMMYFUNCTION("""COMPUTED_VALUE"""),"Sandra")</f>
        <v>Sandra</v>
      </c>
      <c r="AC89" s="28" t="s">
        <v>192</v>
      </c>
      <c r="AD89" s="29" t="str">
        <f>IFERROR(__xludf.DUMMYFUNCTION("""COMPUTED_VALUE"""),"2 dijes de 1.5 y una pulsera")</f>
        <v>2 dijes de 1.5 y una pulsera</v>
      </c>
      <c r="AE89" s="29" t="str">
        <f>IFERROR(__xludf.DUMMYFUNCTION("""COMPUTED_VALUE"""),"La mascotita ya está en el arcoiris 🌈🙏")</f>
        <v>La mascotita ya está en el arcoiris 🌈🙏</v>
      </c>
    </row>
    <row r="90" ht="15.75" customHeight="1">
      <c r="A90" s="28" t="s">
        <v>193</v>
      </c>
      <c r="B90" s="28" t="s">
        <v>33</v>
      </c>
      <c r="C90" s="29" t="str">
        <f>IFERROR(__xludf.DUMMYFUNCTION("""COMPUTED_VALUE"""),"Jannett Noemí Tirado Pintado ")</f>
        <v>Jannett Noemí Tirado Pintado </v>
      </c>
      <c r="E90" s="29" t="str">
        <f>IFERROR(__xludf.DUMMYFUNCTION("""COMPUTED_VALUE"""),"P07 Pulsera con hilo negro dije circular s/149")</f>
        <v>P07 Pulsera con hilo negro dije circular s/149</v>
      </c>
      <c r="F90" s="23">
        <v>46007.0</v>
      </c>
      <c r="G90" s="23"/>
      <c r="H90" s="23">
        <v>46010.0</v>
      </c>
      <c r="I90" s="29">
        <f>IFERROR(__xludf.DUMMYFUNCTION("""COMPUTED_VALUE"""),1.0)</f>
        <v>1</v>
      </c>
      <c r="K90" s="29" t="str">
        <f>IFERROR(__xludf.DUMMYFUNCTION("""COMPUTED_VALUE"""),"Si ,su Carita y nombre(Tommy)")</f>
        <v>Si ,su Carita y nombre(Tommy)</v>
      </c>
      <c r="L90" s="29" t="str">
        <f>IFERROR(__xludf.DUMMYFUNCTION("""COMPUTED_VALUE"""),"No")</f>
        <v>No</v>
      </c>
      <c r="O90" s="28">
        <v>195.0</v>
      </c>
      <c r="P90" s="28">
        <v>12.0</v>
      </c>
      <c r="Q90" s="28">
        <f>O90+P90</f>
        <v>207</v>
      </c>
      <c r="R90" s="28">
        <v>0.0</v>
      </c>
      <c r="S90" s="28">
        <v>1.0</v>
      </c>
      <c r="W90" s="29">
        <f>IFERROR(__xludf.DUMMYFUNCTION("""COMPUTED_VALUE"""),9.63534031E8)</f>
        <v>963534031</v>
      </c>
      <c r="X90" s="29" t="str">
        <f>IFERROR(__xludf.DUMMYFUNCTION("""COMPUTED_VALUE"""),"Asociación Villa Gloria Mz A lote 21 Carabayllo ")</f>
        <v>Asociación Villa Gloria Mz A lote 21 Carabayllo </v>
      </c>
      <c r="Y90" s="29" t="str">
        <f>IFERROR(__xludf.DUMMYFUNCTION("""COMPUTED_VALUE"""),"No")</f>
        <v>No</v>
      </c>
      <c r="Z90" s="29" t="str">
        <f>IFERROR(__xludf.DUMMYFUNCTION("""COMPUTED_VALUE"""),"Para mi")</f>
        <v>Para mi</v>
      </c>
      <c r="AB90" s="30" t="str">
        <f>IFERROR(__xludf.DUMMYFUNCTION("""COMPUTED_VALUE"""),"Sandra")</f>
        <v>Sandra</v>
      </c>
      <c r="AC90" s="28" t="s">
        <v>194</v>
      </c>
      <c r="AD90" s="29" t="str">
        <f>IFERROR(__xludf.DUMMYFUNCTION("""COMPUTED_VALUE"""),"La foto y nombré de mi perrito")</f>
        <v>La foto y nombré de mi perrito</v>
      </c>
      <c r="AE90" s="29" t="str">
        <f>IFERROR(__xludf.DUMMYFUNCTION("""COMPUTED_VALUE"""),"La mascotita está contigo  🐾🎉")</f>
        <v>La mascotita está contigo  🐾🎉</v>
      </c>
    </row>
    <row r="91" ht="15.75" customHeight="1">
      <c r="A91" s="28" t="s">
        <v>195</v>
      </c>
      <c r="B91" s="28" t="s">
        <v>33</v>
      </c>
      <c r="C91" s="29" t="str">
        <f>IFERROR(__xludf.DUMMYFUNCTION("""COMPUTED_VALUE"""),"Andrea Cartagena ")</f>
        <v>Andrea Cartagena </v>
      </c>
      <c r="E91" s="29" t="str">
        <f>IFERROR(__xludf.DUMMYFUNCTION("""COMPUTED_VALUE"""),"Dos dijes ")</f>
        <v>Dos dijes </v>
      </c>
      <c r="F91" s="23">
        <v>46010.0</v>
      </c>
      <c r="G91" s="23"/>
      <c r="H91" s="23">
        <v>46013.0</v>
      </c>
      <c r="I91" s="29">
        <f>IFERROR(__xludf.DUMMYFUNCTION("""COMPUTED_VALUE"""),2.0)</f>
        <v>2</v>
      </c>
      <c r="K91" s="29" t="str">
        <f>IFERROR(__xludf.DUMMYFUNCTION("""COMPUTED_VALUE"""),"Si la cara de mi gato y atrás su nombre")</f>
        <v>Si la cara de mi gato y atrás su nombre</v>
      </c>
      <c r="L91" s="29" t="str">
        <f>IFERROR(__xludf.DUMMYFUNCTION("""COMPUTED_VALUE"""),"Milo ")</f>
        <v>Milo </v>
      </c>
      <c r="O91" s="28">
        <v>258.0</v>
      </c>
      <c r="P91" s="28">
        <v>12.0</v>
      </c>
      <c r="Q91" s="28">
        <v>270.0</v>
      </c>
      <c r="R91" s="28">
        <v>0.0</v>
      </c>
      <c r="S91" s="28">
        <v>270.0</v>
      </c>
      <c r="W91" s="29">
        <f>IFERROR(__xludf.DUMMYFUNCTION("""COMPUTED_VALUE"""),9.97881109E8)</f>
        <v>997881109</v>
      </c>
      <c r="X91" s="29" t="str">
        <f>IFERROR(__xludf.DUMMYFUNCTION("""COMPUTED_VALUE"""),"Jr Eduardo ordoñez 161 San Borja, Andrea Cartagena 997881109")</f>
        <v>Jr Eduardo ordoñez 161 San Borja, Andrea Cartagena 997881109</v>
      </c>
      <c r="Y91" s="29" t="str">
        <f>IFERROR(__xludf.DUMMYFUNCTION("""COMPUTED_VALUE"""),"No marqué shalom")</f>
        <v>No marqué shalom</v>
      </c>
      <c r="Z91" s="29" t="str">
        <f>IFERROR(__xludf.DUMMYFUNCTION("""COMPUTED_VALUE"""),"Regalo de Navidad y para mi")</f>
        <v>Regalo de Navidad y para mi</v>
      </c>
      <c r="AB91" s="30" t="str">
        <f>IFERROR(__xludf.DUMMYFUNCTION("""COMPUTED_VALUE"""),"Sandra")</f>
        <v>Sandra</v>
      </c>
      <c r="AD91" s="29" t="str">
        <f>IFERROR(__xludf.DUMMYFUNCTION("""COMPUTED_VALUE"""),"Es el tercer pedido que hacemos con ustedes porque nos gusta su trabajo espero que salga bien como los demás ")</f>
        <v>Es el tercer pedido que hacemos con ustedes porque nos gusta su trabajo espero que salga bien como los demás </v>
      </c>
      <c r="AE91" s="29" t="str">
        <f>IFERROR(__xludf.DUMMYFUNCTION("""COMPUTED_VALUE"""),"La mascotita está contigo  🐾🎉")</f>
        <v>La mascotita está contigo  🐾🎉</v>
      </c>
    </row>
    <row r="92" ht="15.75" customHeight="1">
      <c r="A92" s="28" t="s">
        <v>196</v>
      </c>
      <c r="B92" s="28" t="s">
        <v>33</v>
      </c>
      <c r="C92" s="29" t="str">
        <f>IFERROR(__xludf.DUMMYFUNCTION("""COMPUTED_VALUE"""),"Victoria Elvira Villalobos Ruiz")</f>
        <v>Victoria Elvira Villalobos Ruiz</v>
      </c>
      <c r="E92" s="29" t="str">
        <f>IFERROR(__xludf.DUMMYFUNCTION("""COMPUTED_VALUE"""),"P01 Pulsera dije circular 2cm colgante  s/149")</f>
        <v>P01 Pulsera dije circular 2cm colgante  s/149</v>
      </c>
      <c r="F92" s="23">
        <v>46010.0</v>
      </c>
      <c r="G92" s="23"/>
      <c r="H92" s="23">
        <v>46013.0</v>
      </c>
      <c r="I92" s="29">
        <f>IFERROR(__xludf.DUMMYFUNCTION("""COMPUTED_VALUE"""),1.0)</f>
        <v>1</v>
      </c>
      <c r="K92" s="29" t="str">
        <f>IFERROR(__xludf.DUMMYFUNCTION("""COMPUTED_VALUE"""),"Si")</f>
        <v>Si</v>
      </c>
      <c r="L92" s="29" t="str">
        <f>IFERROR(__xludf.DUMMYFUNCTION("""COMPUTED_VALUE"""),"No")</f>
        <v>No</v>
      </c>
      <c r="O92" s="28">
        <v>149.0</v>
      </c>
      <c r="P92" s="28">
        <v>10.0</v>
      </c>
      <c r="Q92" s="28">
        <v>159.0</v>
      </c>
      <c r="R92" s="28">
        <v>0.0</v>
      </c>
      <c r="S92" s="28">
        <v>1.0</v>
      </c>
      <c r="W92" s="29">
        <f>IFERROR(__xludf.DUMMYFUNCTION("""COMPUTED_VALUE"""),9.88042745E8)</f>
        <v>988042745</v>
      </c>
      <c r="X92" s="29" t="str">
        <f>IFERROR(__xludf.DUMMYFUNCTION("""COMPUTED_VALUE"""),"Calle Carlos Gonzáles Posada 183 San Miguel.")</f>
        <v>Calle Carlos Gonzáles Posada 183 San Miguel.</v>
      </c>
      <c r="Y92" s="29" t="str">
        <f>IFERROR(__xludf.DUMMYFUNCTION("""COMPUTED_VALUE"""),"Victoria Villalobos. DNI: 08293375.")</f>
        <v>Victoria Villalobos. DNI: 08293375.</v>
      </c>
      <c r="Z92" s="29" t="str">
        <f>IFERROR(__xludf.DUMMYFUNCTION("""COMPUTED_VALUE"""),"Para mi")</f>
        <v>Para mi</v>
      </c>
      <c r="AB92" s="30" t="str">
        <f>IFERROR(__xludf.DUMMYFUNCTION("""COMPUTED_VALUE"""),"Sandra")</f>
        <v>Sandra</v>
      </c>
      <c r="AD92" s="29" t="str">
        <f>IFERROR(__xludf.DUMMYFUNCTION("""COMPUTED_VALUE"""),"Su nombre es KIMBA.")</f>
        <v>Su nombre es KIMBA.</v>
      </c>
      <c r="AE92" s="29" t="str">
        <f>IFERROR(__xludf.DUMMYFUNCTION("""COMPUTED_VALUE"""),"La mascotita ya está en el arcoiris 🌈🙏")</f>
        <v>La mascotita ya está en el arcoiris 🌈🙏</v>
      </c>
    </row>
    <row r="93" ht="15.75" customHeight="1">
      <c r="A93" s="28" t="s">
        <v>197</v>
      </c>
      <c r="B93" s="28" t="s">
        <v>33</v>
      </c>
      <c r="C93" s="29" t="str">
        <f>IFERROR(__xludf.DUMMYFUNCTION("""COMPUTED_VALUE"""),"Lourdes Rezzonico")</f>
        <v>Lourdes Rezzonico</v>
      </c>
      <c r="E93" s="29" t="str">
        <f>IFERROR(__xludf.DUMMYFUNCTION("""COMPUTED_VALUE"""),"P08 Pulsera con cadena s/169")</f>
        <v>P08 Pulsera con cadena s/169</v>
      </c>
      <c r="F93" s="23">
        <v>46010.0</v>
      </c>
      <c r="G93" s="23"/>
      <c r="H93" s="23">
        <v>46013.0</v>
      </c>
      <c r="I93" s="29">
        <f>IFERROR(__xludf.DUMMYFUNCTION("""COMPUTED_VALUE"""),1.0)</f>
        <v>1</v>
      </c>
      <c r="K93" s="29" t="str">
        <f>IFERROR(__xludf.DUMMYFUNCTION("""COMPUTED_VALUE"""),"Si")</f>
        <v>Si</v>
      </c>
      <c r="L93" s="29" t="str">
        <f>IFERROR(__xludf.DUMMYFUNCTION("""COMPUTED_VALUE"""),"Maya")</f>
        <v>Maya</v>
      </c>
      <c r="O93" s="28">
        <v>169.0</v>
      </c>
      <c r="P93" s="28">
        <v>12.0</v>
      </c>
      <c r="Q93" s="28">
        <f>O93+P93</f>
        <v>181</v>
      </c>
      <c r="R93" s="28">
        <v>0.0</v>
      </c>
      <c r="S93" s="28"/>
      <c r="W93" s="29">
        <f>IFERROR(__xludf.DUMMYFUNCTION("""COMPUTED_VALUE"""),9.56302535E8)</f>
        <v>956302535</v>
      </c>
      <c r="X93" s="29" t="str">
        <f>IFERROR(__xludf.DUMMYFUNCTION("""COMPUTED_VALUE"""),"Calle audiencia 196, san Isidro ")</f>
        <v>Calle audiencia 196, san Isidro </v>
      </c>
      <c r="Y93" s="29" t="str">
        <f>IFERROR(__xludf.DUMMYFUNCTION("""COMPUTED_VALUE"""),"Marcela Quevedo +51 920 548 242")</f>
        <v>Marcela Quevedo +51 920 548 242</v>
      </c>
      <c r="Z93" s="29" t="str">
        <f>IFERROR(__xludf.DUMMYFUNCTION("""COMPUTED_VALUE"""),"Amiga")</f>
        <v>Amiga</v>
      </c>
      <c r="AB93" s="30" t="str">
        <f>IFERROR(__xludf.DUMMYFUNCTION("""COMPUTED_VALUE"""),"Sandra")</f>
        <v>Sandra</v>
      </c>
      <c r="AD93" s="29" t="str">
        <f>IFERROR(__xludf.DUMMYFUNCTION("""COMPUTED_VALUE"""),"Mande la foto por mensaje, el nombre es Maya")</f>
        <v>Mande la foto por mensaje, el nombre es Maya</v>
      </c>
      <c r="AE93" s="29" t="str">
        <f>IFERROR(__xludf.DUMMYFUNCTION("""COMPUTED_VALUE"""),"La mascotita ya está en el arcoiris 🌈🙏")</f>
        <v>La mascotita ya está en el arcoiris 🌈🙏</v>
      </c>
    </row>
    <row r="94" ht="15.75" customHeight="1">
      <c r="A94" s="28" t="s">
        <v>198</v>
      </c>
      <c r="B94" s="28" t="s">
        <v>33</v>
      </c>
      <c r="C94" s="29" t="str">
        <f>IFERROR(__xludf.DUMMYFUNCTION("""COMPUTED_VALUE"""),"Xiomara Ivett Pacheco Gutierrez ")</f>
        <v>Xiomara Ivett Pacheco Gutierrez </v>
      </c>
      <c r="E94" s="29" t="str">
        <f>IFERROR(__xludf.DUMMYFUNCTION("""COMPUTED_VALUE"""),"P02 Pulsera dije circular 2cm con huecos s/149")</f>
        <v>P02 Pulsera dije circular 2cm con huecos s/149</v>
      </c>
      <c r="F94" s="23">
        <v>46017.0</v>
      </c>
      <c r="G94" s="23"/>
      <c r="H94" s="23">
        <v>46021.0</v>
      </c>
      <c r="I94" s="29">
        <f>IFERROR(__xludf.DUMMYFUNCTION("""COMPUTED_VALUE"""),1.0)</f>
        <v>1</v>
      </c>
      <c r="K94" s="29" t="str">
        <f>IFERROR(__xludf.DUMMYFUNCTION("""COMPUTED_VALUE"""),"Luna🌙🐾")</f>
        <v>Luna🌙🐾</v>
      </c>
      <c r="L94" s="29" t="str">
        <f>IFERROR(__xludf.DUMMYFUNCTION("""COMPUTED_VALUE"""),"Siempre te cuidare ❤️🐾")</f>
        <v>Siempre te cuidare ❤️🐾</v>
      </c>
      <c r="O94" s="28">
        <v>179.0</v>
      </c>
      <c r="P94" s="28">
        <v>0.0</v>
      </c>
      <c r="Q94" s="28">
        <v>179.0</v>
      </c>
      <c r="R94" s="28">
        <v>0.0</v>
      </c>
      <c r="S94" s="28">
        <v>179.0</v>
      </c>
      <c r="W94" s="29">
        <f>IFERROR(__xludf.DUMMYFUNCTION("""COMPUTED_VALUE"""),9.30375845E8)</f>
        <v>930375845</v>
      </c>
      <c r="X94" s="29" t="str">
        <f>IFERROR(__xludf.DUMMYFUNCTION("""COMPUTED_VALUE"""),"No moto sino por agencia ")</f>
        <v>No moto sino por agencia </v>
      </c>
      <c r="Y94" s="29" t="str">
        <f>IFERROR(__xludf.DUMMYFUNCTION("""COMPUTED_VALUE"""),"Xiomara Ivett Pacheco Gutierrez. DNI. 79199884. Agencia Shalom San Joaquín ICA")</f>
        <v>Xiomara Ivett Pacheco Gutierrez. DNI. 79199884. Agencia Shalom San Joaquín ICA</v>
      </c>
      <c r="Z94" s="29" t="str">
        <f>IFERROR(__xludf.DUMMYFUNCTION("""COMPUTED_VALUE"""),"Para mi")</f>
        <v>Para mi</v>
      </c>
      <c r="AB94" s="30" t="str">
        <f>IFERROR(__xludf.DUMMYFUNCTION("""COMPUTED_VALUE"""),"Sandra")</f>
        <v>Sandra</v>
      </c>
      <c r="AD94" s="29" t="str">
        <f>IFERROR(__xludf.DUMMYFUNCTION("""COMPUTED_VALUE"""),"Es un regalo.. Quisiera que en el nombre se le Agregué una media Luna y una huellita de perrito. En la parte de abajo o arriba de la cabecita . Hilo beige con bolitas a los lados y al final de la pulsera.")</f>
        <v>Es un regalo.. Quisiera que en el nombre se le Agregué una media Luna y una huellita de perrito. En la parte de abajo o arriba de la cabecita . Hilo beige con bolitas a los lados y al final de la pulsera.</v>
      </c>
      <c r="AE94" s="29" t="str">
        <f>IFERROR(__xludf.DUMMYFUNCTION("""COMPUTED_VALUE"""),"La mascotita ya está en el arcoiris 🌈🙏")</f>
        <v>La mascotita ya está en el arcoiris 🌈🙏</v>
      </c>
    </row>
    <row r="95" ht="15.75" customHeight="1">
      <c r="A95" s="28" t="s">
        <v>199</v>
      </c>
      <c r="B95" s="28" t="s">
        <v>33</v>
      </c>
      <c r="C95" s="29" t="str">
        <f>IFERROR(__xludf.DUMMYFUNCTION("""COMPUTED_VALUE"""),"Jorge André Gutiérrez Muñoz")</f>
        <v>Jorge André Gutiérrez Muñoz</v>
      </c>
      <c r="E95" s="29" t="str">
        <f>IFERROR(__xludf.DUMMYFUNCTION("""COMPUTED_VALUE"""),"CL02 Collar dije circular 2cm s/169")</f>
        <v>CL02 Collar dije circular 2cm s/169</v>
      </c>
      <c r="F95" s="23">
        <v>46030.0</v>
      </c>
      <c r="G95" s="23"/>
      <c r="H95" s="23">
        <v>46035.0</v>
      </c>
      <c r="I95" s="29">
        <f>IFERROR(__xludf.DUMMYFUNCTION("""COMPUTED_VALUE"""),1.0)</f>
        <v>1</v>
      </c>
      <c r="K95" s="29" t="str">
        <f>IFERROR(__xludf.DUMMYFUNCTION("""COMPUTED_VALUE"""),"Si")</f>
        <v>Si</v>
      </c>
      <c r="L95" s="29" t="str">
        <f>IFERROR(__xludf.DUMMYFUNCTION("""COMPUTED_VALUE"""),"No")</f>
        <v>No</v>
      </c>
      <c r="O95" s="28">
        <v>169.0</v>
      </c>
      <c r="P95" s="28">
        <v>12.0</v>
      </c>
      <c r="Q95" s="28">
        <v>181.0</v>
      </c>
      <c r="R95" s="28">
        <v>89.5</v>
      </c>
      <c r="S95" s="28">
        <v>91.5</v>
      </c>
      <c r="W95" s="29">
        <f>IFERROR(__xludf.DUMMYFUNCTION("""COMPUTED_VALUE"""),9.89169869E8)</f>
        <v>989169869</v>
      </c>
      <c r="X95" s="29" t="str">
        <f>IFERROR(__xludf.DUMMYFUNCTION("""COMPUTED_VALUE"""),"No")</f>
        <v>No</v>
      </c>
      <c r="Y95" s="29" t="str">
        <f>IFERROR(__xludf.DUMMYFUNCTION("""COMPUTED_VALUE"""),"Jorge André Gutiérrez Muñoz 989169869 47364836 Shalom Uceda Meza Trujillo La Libertad")</f>
        <v>Jorge André Gutiérrez Muñoz 989169869 47364836 Shalom Uceda Meza Trujillo La Libertad</v>
      </c>
      <c r="Z95" s="29" t="str">
        <f>IFERROR(__xludf.DUMMYFUNCTION("""COMPUTED_VALUE"""),"Para mí sobrina")</f>
        <v>Para mí sobrina</v>
      </c>
      <c r="AB95" s="30" t="str">
        <f>IFERROR(__xludf.DUMMYFUNCTION("""COMPUTED_VALUE"""),"Sandra")</f>
        <v>Sandra</v>
      </c>
      <c r="AD95" s="29" t="str">
        <f>IFERROR(__xludf.DUMMYFUNCTION("""COMPUTED_VALUE"""),"Todo bien gracias ")</f>
        <v>Todo bien gracias </v>
      </c>
      <c r="AE95" s="29" t="str">
        <f>IFERROR(__xludf.DUMMYFUNCTION("""COMPUTED_VALUE"""),"La mascotita ya está en el arcoiris 🌈🙏")</f>
        <v>La mascotita ya está en el arcoiris 🌈🙏</v>
      </c>
    </row>
    <row r="96" ht="15.75" customHeight="1">
      <c r="A96" s="28" t="s">
        <v>200</v>
      </c>
      <c r="B96" s="28" t="s">
        <v>33</v>
      </c>
      <c r="C96" s="29" t="str">
        <f>IFERROR(__xludf.DUMMYFUNCTION("""COMPUTED_VALUE"""),"Thais Kelita Torpoco Palomino ")</f>
        <v>Thais Kelita Torpoco Palomino </v>
      </c>
      <c r="E96" s="29" t="str">
        <f>IFERROR(__xludf.DUMMYFUNCTION("""COMPUTED_VALUE"""),"Collar dije ovalado ")</f>
        <v>Collar dije ovalado </v>
      </c>
      <c r="F96" s="23">
        <v>46043.0</v>
      </c>
      <c r="G96" s="23"/>
      <c r="H96" s="23">
        <v>46050.0</v>
      </c>
      <c r="I96" s="29">
        <f>IFERROR(__xludf.DUMMYFUNCTION("""COMPUTED_VALUE"""),1.0)</f>
        <v>1</v>
      </c>
      <c r="K96" s="29" t="str">
        <f>IFERROR(__xludf.DUMMYFUNCTION("""COMPUTED_VALUE"""),"Si")</f>
        <v>Si</v>
      </c>
      <c r="L96" s="29" t="str">
        <f>IFERROR(__xludf.DUMMYFUNCTION("""COMPUTED_VALUE"""),"Si")</f>
        <v>Si</v>
      </c>
      <c r="O96" s="28">
        <v>165.0</v>
      </c>
      <c r="P96" s="28">
        <v>12.0</v>
      </c>
      <c r="Q96" s="28">
        <v>177.0</v>
      </c>
      <c r="R96" s="28">
        <v>96.0</v>
      </c>
      <c r="S96" s="28">
        <v>81.0</v>
      </c>
      <c r="W96" s="29">
        <f>IFERROR(__xludf.DUMMYFUNCTION("""COMPUTED_VALUE"""),9.00703127E8)</f>
        <v>900703127</v>
      </c>
      <c r="X96" s="29" t="str">
        <f>IFERROR(__xludf.DUMMYFUNCTION("""COMPUTED_VALUE"""),"No")</f>
        <v>No</v>
      </c>
      <c r="Y96" s="29" t="str">
        <f>IFERROR(__xludf.DUMMYFUNCTION("""COMPUTED_VALUE"""),"Thais Kelita  Torpoco Palomino/900703127/72968623/shalom(la Oroya)")</f>
        <v>Thais Kelita  Torpoco Palomino/900703127/72968623/shalom(la Oroya)</v>
      </c>
      <c r="Z96" s="29" t="str">
        <f>IFERROR(__xludf.DUMMYFUNCTION("""COMPUTED_VALUE"""),"Para mi")</f>
        <v>Para mi</v>
      </c>
      <c r="AB96" s="30" t="str">
        <f>IFERROR(__xludf.DUMMYFUNCTION("""COMPUTED_VALUE"""),"Sandra")</f>
        <v>Sandra</v>
      </c>
      <c r="AC96" s="28" t="s">
        <v>201</v>
      </c>
      <c r="AD96" s="29" t="str">
        <f>IFERROR(__xludf.DUMMYFUNCTION("""COMPUTED_VALUE"""),"Ninguna ")</f>
        <v>Ninguna </v>
      </c>
      <c r="AE96" s="29" t="str">
        <f>IFERROR(__xludf.DUMMYFUNCTION("""COMPUTED_VALUE"""),"No es de mascotita")</f>
        <v>No es de mascotita</v>
      </c>
    </row>
    <row r="97" ht="15.75" customHeight="1">
      <c r="A97" s="28" t="s">
        <v>202</v>
      </c>
      <c r="B97" s="28" t="s">
        <v>33</v>
      </c>
      <c r="C97" s="29" t="str">
        <f>IFERROR(__xludf.DUMMYFUNCTION("""COMPUTED_VALUE"""),"XX")</f>
        <v>XX</v>
      </c>
      <c r="E97" s="29" t="str">
        <f>IFERROR(__xludf.DUMMYFUNCTION("""COMPUTED_VALUE"""),"DL02 Dije circular solo 2cm s/139")</f>
        <v>DL02 Dije circular solo 2cm s/139</v>
      </c>
      <c r="F97" s="23">
        <v>46023.0</v>
      </c>
      <c r="G97" s="23"/>
      <c r="H97" s="23">
        <v>46053.0</v>
      </c>
      <c r="I97" s="29">
        <f>IFERROR(__xludf.DUMMYFUNCTION("""COMPUTED_VALUE"""),1.0)</f>
        <v>1</v>
      </c>
      <c r="K97" s="29" t="str">
        <f>IFERROR(__xludf.DUMMYFUNCTION("""COMPUTED_VALUE"""),"SI")</f>
        <v>SI</v>
      </c>
      <c r="L97" s="29" t="str">
        <f>IFERROR(__xludf.DUMMYFUNCTION("""COMPUTED_VALUE"""),"NO")</f>
        <v>NO</v>
      </c>
      <c r="M97" s="28" t="s">
        <v>36</v>
      </c>
      <c r="O97" s="28">
        <v>1.0</v>
      </c>
      <c r="P97" s="28">
        <v>1.0</v>
      </c>
      <c r="Q97" s="28">
        <v>2.0</v>
      </c>
      <c r="R97" s="28">
        <v>1.0</v>
      </c>
      <c r="S97" s="28">
        <v>1.0</v>
      </c>
      <c r="W97" s="29" t="str">
        <f>IFERROR(__xludf.DUMMYFUNCTION("""COMPUTED_VALUE"""),"XX")</f>
        <v>XX</v>
      </c>
      <c r="X97" s="29" t="str">
        <f>IFERROR(__xludf.DUMMYFUNCTION("""COMPUTED_VALUE"""),"XX")</f>
        <v>XX</v>
      </c>
      <c r="Y97" s="29" t="str">
        <f>IFERROR(__xludf.DUMMYFUNCTION("""COMPUTED_VALUE"""),"XX")</f>
        <v>XX</v>
      </c>
      <c r="Z97" s="29" t="str">
        <f>IFERROR(__xludf.DUMMYFUNCTION("""COMPUTED_VALUE"""),"Para mi")</f>
        <v>Para mi</v>
      </c>
      <c r="AB97" s="30" t="str">
        <f>IFERROR(__xludf.DUMMYFUNCTION("""COMPUTED_VALUE"""),"Sandra")</f>
        <v>Sandra</v>
      </c>
      <c r="AD97" s="29" t="str">
        <f>IFERROR(__xludf.DUMMYFUNCTION("""COMPUTED_VALUE"""),"PEDIDO DE DIJES CIRCULARES 
")</f>
        <v>PEDIDO DE DIJES CIRCULARES 
</v>
      </c>
      <c r="AE97" s="29" t="str">
        <f>IFERROR(__xludf.DUMMYFUNCTION("""COMPUTED_VALUE"""),"La mascotita ya está en el arcoiris 🌈🙏")</f>
        <v>La mascotita ya está en el arcoiris 🌈🙏</v>
      </c>
    </row>
    <row r="98" ht="15.75" customHeight="1">
      <c r="A98" s="28" t="s">
        <v>203</v>
      </c>
      <c r="B98" s="28" t="s">
        <v>33</v>
      </c>
      <c r="C98" s="29" t="str">
        <f>IFERROR(__xludf.DUMMYFUNCTION("""COMPUTED_VALUE"""),"Milagros Andrea Calderón Odiaga ")</f>
        <v>Milagros Andrea Calderón Odiaga </v>
      </c>
      <c r="E98" s="29" t="str">
        <f>IFERROR(__xludf.DUMMYFUNCTION("""COMPUTED_VALUE"""),"Collar con dije silueta 179 soles")</f>
        <v>Collar con dije silueta 179 soles</v>
      </c>
      <c r="F98" s="23">
        <v>46045.0</v>
      </c>
      <c r="G98" s="23"/>
      <c r="H98" s="23">
        <v>46051.0</v>
      </c>
      <c r="I98" s="29">
        <f>IFERROR(__xludf.DUMMYFUNCTION("""COMPUTED_VALUE"""),1.0)</f>
        <v>1</v>
      </c>
      <c r="K98" s="29" t="str">
        <f>IFERROR(__xludf.DUMMYFUNCTION("""COMPUTED_VALUE"""),"No")</f>
        <v>No</v>
      </c>
      <c r="L98" s="29" t="str">
        <f>IFERROR(__xludf.DUMMYFUNCTION("""COMPUTED_VALUE"""),"No")</f>
        <v>No</v>
      </c>
      <c r="O98" s="28">
        <v>179.0</v>
      </c>
      <c r="P98" s="28">
        <v>0.0</v>
      </c>
      <c r="Q98" s="28">
        <v>179.0</v>
      </c>
      <c r="R98" s="28">
        <v>89.5</v>
      </c>
      <c r="S98" s="28">
        <v>89.5</v>
      </c>
      <c r="W98" s="29">
        <f>IFERROR(__xludf.DUMMYFUNCTION("""COMPUTED_VALUE"""),9.7338596E8)</f>
        <v>973385960</v>
      </c>
      <c r="X98" s="29" t="str">
        <f>IFERROR(__xludf.DUMMYFUNCTION("""COMPUTED_VALUE"""),"No")</f>
        <v>No</v>
      </c>
      <c r="Y98" s="29" t="str">
        <f>IFERROR(__xludf.DUMMYFUNCTION("""COMPUTED_VALUE"""),"Milagros Andrea Calderón Odiaga, 973385960, DNI: 70540786, Agencia de Shalom: Uceda Meza (Trujillo)")</f>
        <v>Milagros Andrea Calderón Odiaga, 973385960, DNI: 70540786, Agencia de Shalom: Uceda Meza (Trujillo)</v>
      </c>
      <c r="Z98" s="29" t="str">
        <f>IFERROR(__xludf.DUMMYFUNCTION("""COMPUTED_VALUE"""),"Para mi")</f>
        <v>Para mi</v>
      </c>
      <c r="AB98" s="30" t="str">
        <f>IFERROR(__xludf.DUMMYFUNCTION("""COMPUTED_VALUE"""),"Sandra")</f>
        <v>Sandra</v>
      </c>
      <c r="AC98" s="28" t="s">
        <v>204</v>
      </c>
      <c r="AD98" s="29" t="str">
        <f>IFERROR(__xludf.DUMMYFUNCTION("""COMPUTED_VALUE"""),"No")</f>
        <v>No</v>
      </c>
      <c r="AE98" s="29" t="str">
        <f>IFERROR(__xludf.DUMMYFUNCTION("""COMPUTED_VALUE"""),"La mascotita ya está en el arcoiris 🌈🙏")</f>
        <v>La mascotita ya está en el arcoiris 🌈🙏</v>
      </c>
    </row>
    <row r="99" ht="15.75" customHeight="1">
      <c r="A99" s="28" t="s">
        <v>205</v>
      </c>
      <c r="B99" s="28" t="s">
        <v>33</v>
      </c>
      <c r="C99" s="29" t="str">
        <f>IFERROR(__xludf.DUMMYFUNCTION("""COMPUTED_VALUE"""),"María Gracia Córdova Ampuero ")</f>
        <v>María Gracia Córdova Ampuero </v>
      </c>
      <c r="E99" s="29" t="str">
        <f>IFERROR(__xludf.DUMMYFUNCTION("""COMPUTED_VALUE"""),"CL02 Collar dije circular 2cm s/169")</f>
        <v>CL02 Collar dije circular 2cm s/169</v>
      </c>
      <c r="F99" s="23">
        <v>46045.0</v>
      </c>
      <c r="G99" s="23"/>
      <c r="H99" s="23">
        <v>46052.0</v>
      </c>
      <c r="I99" s="29" t="str">
        <f>IFERROR(__xludf.DUMMYFUNCTION("""COMPUTED_VALUE"""),"1 collar ")</f>
        <v>1 collar </v>
      </c>
      <c r="K99" s="29" t="str">
        <f>IFERROR(__xludf.DUMMYFUNCTION("""COMPUTED_VALUE"""),"No")</f>
        <v>No</v>
      </c>
      <c r="L99" s="29" t="str">
        <f>IFERROR(__xludf.DUMMYFUNCTION("""COMPUTED_VALUE"""),"Si, el nombre grabado atrás ")</f>
        <v>Si, el nombre grabado atrás </v>
      </c>
      <c r="M99" s="28" t="s">
        <v>36</v>
      </c>
      <c r="O99" s="28">
        <v>184.0</v>
      </c>
      <c r="P99" s="28">
        <v>12.0</v>
      </c>
      <c r="Q99" s="28">
        <v>196.0</v>
      </c>
      <c r="R99" s="28">
        <v>9.0</v>
      </c>
      <c r="S99" s="28">
        <v>187.0</v>
      </c>
      <c r="W99" s="29">
        <f>IFERROR(__xludf.DUMMYFUNCTION("""COMPUTED_VALUE"""),9.53985449E8)</f>
        <v>953985449</v>
      </c>
      <c r="X99" s="29" t="str">
        <f>IFERROR(__xludf.DUMMYFUNCTION("""COMPUTED_VALUE"""),"No es en moto")</f>
        <v>No es en moto</v>
      </c>
      <c r="Y99" s="29" t="str">
        <f>IFERROR(__xludf.DUMMYFUNCTION("""COMPUTED_VALUE"""),"María Gracia Córdova Ampuero Dni: 71033441 Shalom ilo agencia Pacocha ")</f>
        <v>María Gracia Córdova Ampuero Dni: 71033441 Shalom ilo agencia Pacocha </v>
      </c>
      <c r="Z99" s="29" t="str">
        <f>IFERROR(__xludf.DUMMYFUNCTION("""COMPUTED_VALUE"""),"Para mi novio ")</f>
        <v>Para mi novio </v>
      </c>
      <c r="AB99" s="30" t="str">
        <f>IFERROR(__xludf.DUMMYFUNCTION("""COMPUTED_VALUE"""),"Sandra")</f>
        <v>Sandra</v>
      </c>
      <c r="AC99" s="28" t="s">
        <v>206</v>
      </c>
      <c r="AD99" s="29" t="str">
        <f>IFERROR(__xludf.DUMMYFUNCTION("""COMPUTED_VALUE"""),"Me gustaría ver el diseño antes q lo graben ")</f>
        <v>Me gustaría ver el diseño antes q lo graben </v>
      </c>
      <c r="AE99" s="29" t="str">
        <f>IFERROR(__xludf.DUMMYFUNCTION("""COMPUTED_VALUE"""),"La mascotita ya está en el arcoiris 🌈🙏")</f>
        <v>La mascotita ya está en el arcoiris 🌈🙏</v>
      </c>
    </row>
    <row r="100" ht="15.75" customHeight="1">
      <c r="A100" s="28" t="s">
        <v>207</v>
      </c>
      <c r="B100" s="28" t="s">
        <v>33</v>
      </c>
      <c r="C100" s="29" t="str">
        <f>IFERROR(__xludf.DUMMYFUNCTION("""COMPUTED_VALUE"""),"Cristian Rodriguez")</f>
        <v>Cristian Rodriguez</v>
      </c>
      <c r="E100" s="29" t="str">
        <f>IFERROR(__xludf.DUMMYFUNCTION("""COMPUTED_VALUE"""),"Dije")</f>
        <v>Dije</v>
      </c>
      <c r="F100" s="23">
        <v>46047.0</v>
      </c>
      <c r="G100" s="23"/>
      <c r="H100" s="23">
        <v>46052.0</v>
      </c>
      <c r="I100" s="29">
        <f>IFERROR(__xludf.DUMMYFUNCTION("""COMPUTED_VALUE"""),1.0)</f>
        <v>1</v>
      </c>
      <c r="K100" s="29" t="str">
        <f>IFERROR(__xludf.DUMMYFUNCTION("""COMPUTED_VALUE"""),"CLAY")</f>
        <v>CLAY</v>
      </c>
      <c r="L100" s="29" t="str">
        <f>IFERROR(__xludf.DUMMYFUNCTION("""COMPUTED_VALUE"""),"30/12/2025")</f>
        <v>30/12/2025</v>
      </c>
      <c r="O100" s="28">
        <v>179.0</v>
      </c>
      <c r="P100" s="28">
        <v>0.0</v>
      </c>
      <c r="Q100" s="28">
        <v>179.0</v>
      </c>
      <c r="R100" s="28">
        <v>0.0</v>
      </c>
      <c r="S100" s="28">
        <v>179.0</v>
      </c>
      <c r="W100" s="29">
        <f>IFERROR(__xludf.DUMMYFUNCTION("""COMPUTED_VALUE"""),9.14665571E8)</f>
        <v>914665571</v>
      </c>
      <c r="X100" s="29" t="str">
        <f>IFERROR(__xludf.DUMMYFUNCTION("""COMPUTED_VALUE"""),"Av Rafael Escardo 620 - Dpto 1407 San Miguel / Cristian Rodriguez / 914665571")</f>
        <v>Av Rafael Escardo 620 - Dpto 1407 San Miguel / Cristian Rodriguez / 914665571</v>
      </c>
      <c r="Y100" s="29" t="str">
        <f>IFERROR(__xludf.DUMMYFUNCTION("""COMPUTED_VALUE"""),"-")</f>
        <v>-</v>
      </c>
      <c r="Z100" s="29" t="str">
        <f>IFERROR(__xludf.DUMMYFUNCTION("""COMPUTED_VALUE"""),"Amiga")</f>
        <v>Amiga</v>
      </c>
      <c r="AB100" s="30" t="str">
        <f>IFERROR(__xludf.DUMMYFUNCTION("""COMPUTED_VALUE"""),"Sandra")</f>
        <v>Sandra</v>
      </c>
      <c r="AC100" s="28" t="s">
        <v>208</v>
      </c>
      <c r="AD100" s="29" t="str">
        <f>IFERROR(__xludf.DUMMYFUNCTION("""COMPUTED_VALUE"""),"-")</f>
        <v>-</v>
      </c>
      <c r="AE100" s="29" t="str">
        <f>IFERROR(__xludf.DUMMYFUNCTION("""COMPUTED_VALUE"""),"La mascotita está contigo  🐾🎉")</f>
        <v>La mascotita está contigo  🐾🎉</v>
      </c>
    </row>
    <row r="101" ht="15.75" customHeight="1">
      <c r="A101" s="28" t="s">
        <v>209</v>
      </c>
      <c r="B101" s="28" t="s">
        <v>33</v>
      </c>
      <c r="C101" s="29" t="str">
        <f>IFERROR(__xludf.DUMMYFUNCTION("""COMPUTED_VALUE"""),"Patricia regalado salas ")</f>
        <v>Patricia regalado salas </v>
      </c>
      <c r="E101" s="29" t="str">
        <f>IFERROR(__xludf.DUMMYFUNCTION("""COMPUTED_VALUE"""),"CL01 Collar dije circular 1.5cm s/149")</f>
        <v>CL01 Collar dije circular 1.5cm s/149</v>
      </c>
      <c r="F101" s="23">
        <v>46052.0</v>
      </c>
      <c r="G101" s="23"/>
      <c r="H101" s="23">
        <v>46059.0</v>
      </c>
      <c r="I101" s="29">
        <f>IFERROR(__xludf.DUMMYFUNCTION("""COMPUTED_VALUE"""),1.0)</f>
        <v>1</v>
      </c>
      <c r="K101" s="29" t="str">
        <f>IFERROR(__xludf.DUMMYFUNCTION("""COMPUTED_VALUE"""),"Sí ( Lucas)")</f>
        <v>Sí ( Lucas)</v>
      </c>
      <c r="L101" s="29" t="str">
        <f>IFERROR(__xludf.DUMMYFUNCTION("""COMPUTED_VALUE"""),"No ")</f>
        <v>No </v>
      </c>
      <c r="M101" s="28" t="s">
        <v>36</v>
      </c>
      <c r="O101" s="28">
        <v>149.0</v>
      </c>
      <c r="P101" s="28">
        <v>12.0</v>
      </c>
      <c r="Q101" s="28">
        <v>161.0</v>
      </c>
      <c r="R101" s="28">
        <v>80.5</v>
      </c>
      <c r="S101" s="28">
        <v>80.5</v>
      </c>
      <c r="W101" s="29">
        <f>IFERROR(__xludf.DUMMYFUNCTION("""COMPUTED_VALUE"""),9.61220342E8)</f>
        <v>961220342</v>
      </c>
      <c r="X101" s="29" t="str">
        <f>IFERROR(__xludf.DUMMYFUNCTION("""COMPUTED_VALUE"""),"No ")</f>
        <v>No </v>
      </c>
      <c r="Y101" s="29" t="str">
        <f>IFERROR(__xludf.DUMMYFUNCTION("""COMPUTED_VALUE"""),"Patricia regalado salas , 961220342, DNI( 72669826), agencia olva de huacho ")</f>
        <v>Patricia regalado salas , 961220342, DNI( 72669826), agencia olva de huacho </v>
      </c>
      <c r="Z101" s="29" t="str">
        <f>IFERROR(__xludf.DUMMYFUNCTION("""COMPUTED_VALUE"""),"Para mi")</f>
        <v>Para mi</v>
      </c>
      <c r="AB101" s="30" t="str">
        <f>IFERROR(__xludf.DUMMYFUNCTION("""COMPUTED_VALUE"""),"Denisse")</f>
        <v>Denisse</v>
      </c>
      <c r="AC101" s="28" t="s">
        <v>210</v>
      </c>
      <c r="AD101" s="29" t="str">
        <f>IFERROR(__xludf.DUMMYFUNCTION("""COMPUTED_VALUE"""),"Notificar cuando el pedido esté listo y en el lugar de recogo ")</f>
        <v>Notificar cuando el pedido esté listo y en el lugar de recogo </v>
      </c>
      <c r="AE101" s="29" t="str">
        <f>IFERROR(__xludf.DUMMYFUNCTION("""COMPUTED_VALUE"""),"La mascotita ya está en el arcoiris 🌈🙏")</f>
        <v>La mascotita ya está en el arcoiris 🌈🙏</v>
      </c>
    </row>
    <row r="102" ht="15.75" customHeight="1">
      <c r="A102" s="28" t="s">
        <v>211</v>
      </c>
      <c r="B102" s="28" t="s">
        <v>33</v>
      </c>
      <c r="C102" s="29" t="str">
        <f>IFERROR(__xludf.DUMMYFUNCTION("""COMPUTED_VALUE"""),"Fabiola Trujillo Soria ")</f>
        <v>Fabiola Trujillo Soria </v>
      </c>
      <c r="E102" s="29" t="str">
        <f>IFERROR(__xludf.DUMMYFUNCTION("""COMPUTED_VALUE"""),"Pulsera negra con dije circular de acero ")</f>
        <v>Pulsera negra con dije circular de acero </v>
      </c>
      <c r="F102" s="23">
        <v>46052.0</v>
      </c>
      <c r="G102" s="23"/>
      <c r="H102" s="23">
        <v>46059.0</v>
      </c>
      <c r="I102" s="29">
        <f>IFERROR(__xludf.DUMMYFUNCTION("""COMPUTED_VALUE"""),1.0)</f>
        <v>1</v>
      </c>
      <c r="K102" s="29" t="str">
        <f>IFERROR(__xludf.DUMMYFUNCTION("""COMPUTED_VALUE"""),"Si ")</f>
        <v>Si </v>
      </c>
      <c r="L102" s="29" t="str">
        <f>IFERROR(__xludf.DUMMYFUNCTION("""COMPUTED_VALUE"""),"No")</f>
        <v>No</v>
      </c>
      <c r="M102" s="28" t="s">
        <v>36</v>
      </c>
      <c r="O102" s="28">
        <v>69.0</v>
      </c>
      <c r="P102" s="28">
        <v>0.0</v>
      </c>
      <c r="Q102" s="28">
        <v>69.0</v>
      </c>
      <c r="R102" s="28">
        <v>34.5</v>
      </c>
      <c r="S102" s="28">
        <v>34.5</v>
      </c>
      <c r="W102" s="29">
        <f>IFERROR(__xludf.DUMMYFUNCTION("""COMPUTED_VALUE"""),9.44338876E8)</f>
        <v>944338876</v>
      </c>
      <c r="X102" s="29" t="str">
        <f>IFERROR(__xludf.DUMMYFUNCTION("""COMPUTED_VALUE"""),"No")</f>
        <v>No</v>
      </c>
      <c r="Y102" s="29" t="str">
        <f>IFERROR(__xludf.DUMMYFUNCTION("""COMPUTED_VALUE"""),"No")</f>
        <v>No</v>
      </c>
      <c r="Z102" s="29" t="str">
        <f>IFERROR(__xludf.DUMMYFUNCTION("""COMPUTED_VALUE"""),"Para mi")</f>
        <v>Para mi</v>
      </c>
      <c r="AB102" s="30" t="str">
        <f>IFERROR(__xludf.DUMMYFUNCTION("""COMPUTED_VALUE"""),"Sandra")</f>
        <v>Sandra</v>
      </c>
      <c r="AC102" s="28" t="s">
        <v>212</v>
      </c>
      <c r="AD102" s="29" t="str">
        <f>IFERROR(__xludf.DUMMYFUNCTION("""COMPUTED_VALUE"""),"Ninguna ")</f>
        <v>Ninguna </v>
      </c>
      <c r="AE102" s="29" t="str">
        <f>IFERROR(__xludf.DUMMYFUNCTION("""COMPUTED_VALUE"""),"La mascotita está contigo  🐾🎉")</f>
        <v>La mascotita está contigo  🐾🎉</v>
      </c>
    </row>
    <row r="103" ht="15.75" customHeight="1">
      <c r="A103" s="28" t="s">
        <v>213</v>
      </c>
      <c r="B103" s="28" t="s">
        <v>33</v>
      </c>
      <c r="C103" s="29" t="str">
        <f>IFERROR(__xludf.DUMMYFUNCTION("""COMPUTED_VALUE"""),"Diana Quiroz Thais")</f>
        <v>Diana Quiroz Thais</v>
      </c>
      <c r="E103" s="29" t="str">
        <f>IFERROR(__xludf.DUMMYFUNCTION("""COMPUTED_VALUE"""),"Collar con dije silueta de cabeza ")</f>
        <v>Collar con dije silueta de cabeza </v>
      </c>
      <c r="F103" s="23">
        <v>46051.0</v>
      </c>
      <c r="G103" s="23"/>
      <c r="H103" s="23">
        <v>46058.0</v>
      </c>
      <c r="I103" s="29">
        <f>IFERROR(__xludf.DUMMYFUNCTION("""COMPUTED_VALUE"""),1.0)</f>
        <v>1</v>
      </c>
      <c r="K103" s="29" t="str">
        <f>IFERROR(__xludf.DUMMYFUNCTION("""COMPUTED_VALUE"""),"No")</f>
        <v>No</v>
      </c>
      <c r="L103" s="29" t="str">
        <f>IFERROR(__xludf.DUMMYFUNCTION("""COMPUTED_VALUE"""),"No")</f>
        <v>No</v>
      </c>
      <c r="O103" s="28">
        <v>179.0</v>
      </c>
      <c r="P103" s="28">
        <v>0.0</v>
      </c>
      <c r="Q103" s="28">
        <v>179.0</v>
      </c>
      <c r="R103" s="28">
        <v>179.0</v>
      </c>
      <c r="S103" s="28">
        <v>0.0</v>
      </c>
      <c r="W103" s="29">
        <f>IFERROR(__xludf.DUMMYFUNCTION("""COMPUTED_VALUE"""),9.59391802E8)</f>
        <v>959391802</v>
      </c>
      <c r="X103" s="29" t="str">
        <f>IFERROR(__xludf.DUMMYFUNCTION("""COMPUTED_VALUE"""),"Psje. Burgos 155, Dpto. 303, Santiago de Surco, Lima, Lima, Peru")</f>
        <v>Psje. Burgos 155, Dpto. 303, Santiago de Surco, Lima, Lima, Peru</v>
      </c>
      <c r="Y103" s="29" t="str">
        <f>IFERROR(__xludf.DUMMYFUNCTION("""COMPUTED_VALUE"""),"Ni")</f>
        <v>Ni</v>
      </c>
      <c r="Z103" s="29" t="str">
        <f>IFERROR(__xludf.DUMMYFUNCTION("""COMPUTED_VALUE"""),"Para mi")</f>
        <v>Para mi</v>
      </c>
      <c r="AB103" s="30" t="str">
        <f>IFERROR(__xludf.DUMMYFUNCTION("""COMPUTED_VALUE"""),"Sandra")</f>
        <v>Sandra</v>
      </c>
      <c r="AD103" s="29" t="str">
        <f>IFERROR(__xludf.DUMMYFUNCTION("""COMPUTED_VALUE"""),"Envío gratis, pedido por la web")</f>
        <v>Envío gratis, pedido por la web</v>
      </c>
      <c r="AE103" s="29" t="str">
        <f>IFERROR(__xludf.DUMMYFUNCTION("""COMPUTED_VALUE"""),"La mascotita ya está en el arcoiris 🌈🙏")</f>
        <v>La mascotita ya está en el arcoiris 🌈🙏</v>
      </c>
    </row>
    <row r="104" ht="15.75" customHeight="1">
      <c r="A104" s="28" t="s">
        <v>214</v>
      </c>
      <c r="B104" s="28" t="s">
        <v>33</v>
      </c>
      <c r="C104" s="29" t="str">
        <f>IFERROR(__xludf.DUMMYFUNCTION("""COMPUTED_VALUE"""),"Mariana Andreina Ocando")</f>
        <v>Mariana Andreina Ocando</v>
      </c>
      <c r="E104" s="29" t="str">
        <f>IFERROR(__xludf.DUMMYFUNCTION("""COMPUTED_VALUE"""),"Dije de Huella para collar")</f>
        <v>Dije de Huella para collar</v>
      </c>
      <c r="F104" s="23">
        <v>46049.0</v>
      </c>
      <c r="G104" s="23"/>
      <c r="H104" s="23">
        <v>46057.0</v>
      </c>
      <c r="I104" s="29">
        <f>IFERROR(__xludf.DUMMYFUNCTION("""COMPUTED_VALUE"""),1.0)</f>
        <v>1</v>
      </c>
      <c r="K104" s="29" t="str">
        <f>IFERROR(__xludf.DUMMYFUNCTION("""COMPUTED_VALUE"""),"Benny")</f>
        <v>Benny</v>
      </c>
      <c r="L104" s="29" t="str">
        <f>IFERROR(__xludf.DUMMYFUNCTION("""COMPUTED_VALUE"""),"no")</f>
        <v>no</v>
      </c>
      <c r="O104" s="28">
        <v>59.0</v>
      </c>
      <c r="P104" s="28">
        <v>0.0</v>
      </c>
      <c r="Q104" s="28">
        <v>59.0</v>
      </c>
      <c r="R104" s="28">
        <v>59.0</v>
      </c>
      <c r="S104" s="28">
        <v>0.0</v>
      </c>
      <c r="W104" s="29" t="str">
        <f>IFERROR(__xludf.DUMMYFUNCTION("""COMPUTED_VALUE"""),"51 963 978 192")</f>
        <v>51 963 978 192</v>
      </c>
      <c r="X104" s="29" t="str">
        <f>IFERROR(__xludf.DUMMYFUNCTION("""COMPUTED_VALUE"""),"No")</f>
        <v>No</v>
      </c>
      <c r="Y104" s="29" t="str">
        <f>IFERROR(__xludf.DUMMYFUNCTION("""COMPUTED_VALUE"""),"Av. Aviación 218, Barrio Particular., Pariqas, Talara, Piura, Peru")</f>
        <v>Av. Aviación 218, Barrio Particular., Pariqas, Talara, Piura, Peru</v>
      </c>
      <c r="Z104" s="29" t="str">
        <f>IFERROR(__xludf.DUMMYFUNCTION("""COMPUTED_VALUE"""),"Para mi")</f>
        <v>Para mi</v>
      </c>
      <c r="AB104" s="30" t="str">
        <f>IFERROR(__xludf.DUMMYFUNCTION("""COMPUTED_VALUE"""),"Sandra")</f>
        <v>Sandra</v>
      </c>
      <c r="AC104" s="28" t="s">
        <v>215</v>
      </c>
      <c r="AD104" s="29" t="str">
        <f>IFERROR(__xludf.DUMMYFUNCTION("""COMPUTED_VALUE"""),"Viene con aretes salchicha")</f>
        <v>Viene con aretes salchicha</v>
      </c>
      <c r="AE104" s="29" t="str">
        <f>IFERROR(__xludf.DUMMYFUNCTION("""COMPUTED_VALUE"""),"La mascotita está contigo  🐾🎉")</f>
        <v>La mascotita está contigo  🐾🎉</v>
      </c>
    </row>
    <row r="105" ht="15.75" customHeight="1">
      <c r="A105" s="28" t="s">
        <v>216</v>
      </c>
      <c r="B105" s="28" t="s">
        <v>33</v>
      </c>
      <c r="C105" s="29" t="str">
        <f>IFERROR(__xludf.DUMMYFUNCTION("""COMPUTED_VALUE"""),"ANDDY NEFF BRAVO SALAZAR ")</f>
        <v>ANDDY NEFF BRAVO SALAZAR </v>
      </c>
      <c r="E105" s="29" t="str">
        <f>IFERROR(__xludf.DUMMYFUNCTION("""COMPUTED_VALUE"""),"01 un collar con dije silueta de cabeza")</f>
        <v>01 un collar con dije silueta de cabeza</v>
      </c>
      <c r="F105" s="23">
        <v>46055.0</v>
      </c>
      <c r="G105" s="23"/>
      <c r="H105" s="23">
        <v>46059.0</v>
      </c>
      <c r="I105" s="29">
        <f>IFERROR(__xludf.DUMMYFUNCTION("""COMPUTED_VALUE"""),1.0)</f>
        <v>1</v>
      </c>
      <c r="K105" s="29" t="str">
        <f>IFERROR(__xludf.DUMMYFUNCTION("""COMPUTED_VALUE"""),"No")</f>
        <v>No</v>
      </c>
      <c r="L105" s="29" t="str">
        <f>IFERROR(__xludf.DUMMYFUNCTION("""COMPUTED_VALUE"""),"No")</f>
        <v>No</v>
      </c>
      <c r="M105" s="28" t="s">
        <v>217</v>
      </c>
      <c r="O105" s="28">
        <v>179.0</v>
      </c>
      <c r="P105" s="28">
        <v>10.0</v>
      </c>
      <c r="Q105" s="28">
        <v>197.0</v>
      </c>
      <c r="R105" s="28">
        <v>98.5</v>
      </c>
      <c r="S105" s="28">
        <v>98.5</v>
      </c>
      <c r="W105" s="29">
        <f>IFERROR(__xludf.DUMMYFUNCTION("""COMPUTED_VALUE"""),9.30917813E8)</f>
        <v>930917813</v>
      </c>
      <c r="X105" s="29" t="str">
        <f>IFERROR(__xludf.DUMMYFUNCTION("""COMPUTED_VALUE"""),"Anddy neff bravo Salazar, 930917813,  jirón Apurímac 224")</f>
        <v>Anddy neff bravo Salazar, 930917813,  jirón Apurímac 224</v>
      </c>
      <c r="Y105" s="29" t="str">
        <f>IFERROR(__xludf.DUMMYFUNCTION("""COMPUTED_VALUE"""),"No")</f>
        <v>No</v>
      </c>
      <c r="Z105" s="29" t="str">
        <f>IFERROR(__xludf.DUMMYFUNCTION("""COMPUTED_VALUE"""),"Para mi")</f>
        <v>Para mi</v>
      </c>
      <c r="AB105" s="30" t="str">
        <f>IFERROR(__xludf.DUMMYFUNCTION("""COMPUTED_VALUE"""),"Denisse")</f>
        <v>Denisse</v>
      </c>
      <c r="AC105" s="28" t="s">
        <v>218</v>
      </c>
      <c r="AD105" s="29" t="str">
        <f>IFERROR(__xludf.DUMMYFUNCTION("""COMPUTED_VALUE"""),"Puntualidad el día de la entrega por favor y que se envíe lo que se quedó por Whatsapp ")</f>
        <v>Puntualidad el día de la entrega por favor y que se envíe lo que se quedó por Whatsapp </v>
      </c>
      <c r="AE105" s="29" t="str">
        <f>IFERROR(__xludf.DUMMYFUNCTION("""COMPUTED_VALUE"""),"La mascotita está contigo  🐾🎉")</f>
        <v>La mascotita está contigo  🐾🎉</v>
      </c>
    </row>
    <row r="106" ht="15.75" customHeight="1">
      <c r="A106" s="28" t="s">
        <v>219</v>
      </c>
      <c r="B106" s="28" t="s">
        <v>33</v>
      </c>
      <c r="C106" s="29" t="str">
        <f>IFERROR(__xludf.DUMMYFUNCTION("""COMPUTED_VALUE"""),"S")</f>
        <v>S</v>
      </c>
      <c r="E106" s="29" t="str">
        <f>IFERROR(__xludf.DUMMYFUNCTION("""COMPUTED_VALUE"""),"Aretes salchicha")</f>
        <v>Aretes salchicha</v>
      </c>
      <c r="F106" s="23">
        <v>46049.0</v>
      </c>
      <c r="G106" s="23"/>
      <c r="H106" s="23">
        <v>46057.0</v>
      </c>
      <c r="I106" s="29">
        <f>IFERROR(__xludf.DUMMYFUNCTION("""COMPUTED_VALUE"""),1.0)</f>
        <v>1</v>
      </c>
      <c r="K106" s="29" t="str">
        <f>IFERROR(__xludf.DUMMYFUNCTION("""COMPUTED_VALUE"""),"No")</f>
        <v>No</v>
      </c>
      <c r="L106" s="29" t="str">
        <f>IFERROR(__xludf.DUMMYFUNCTION("""COMPUTED_VALUE"""),"No")</f>
        <v>No</v>
      </c>
      <c r="O106" s="28">
        <v>50.0</v>
      </c>
      <c r="P106" s="28">
        <v>0.0</v>
      </c>
      <c r="Q106" s="28">
        <v>50.0</v>
      </c>
      <c r="R106" s="28">
        <v>50.0</v>
      </c>
      <c r="S106" s="28">
        <v>0.0</v>
      </c>
      <c r="W106" s="29" t="str">
        <f>IFERROR(__xludf.DUMMYFUNCTION("""COMPUTED_VALUE"""),"X")</f>
        <v>X</v>
      </c>
      <c r="X106" s="29" t="str">
        <f>IFERROR(__xludf.DUMMYFUNCTION("""COMPUTED_VALUE"""),"N")</f>
        <v>N</v>
      </c>
      <c r="Y106" s="29" t="str">
        <f>IFERROR(__xludf.DUMMYFUNCTION("""COMPUTED_VALUE"""),"N")</f>
        <v>N</v>
      </c>
      <c r="Z106" s="29" t="str">
        <f>IFERROR(__xludf.DUMMYFUNCTION("""COMPUTED_VALUE"""),"Para mi")</f>
        <v>Para mi</v>
      </c>
      <c r="AB106" s="30" t="str">
        <f>IFERROR(__xludf.DUMMYFUNCTION("""COMPUTED_VALUE"""),"Sandra")</f>
        <v>Sandra</v>
      </c>
      <c r="AC106" s="28" t="s">
        <v>220</v>
      </c>
      <c r="AD106" s="29" t="str">
        <f>IFERROR(__xludf.DUMMYFUNCTION("""COMPUTED_VALUE"""),"X")</f>
        <v>X</v>
      </c>
      <c r="AE106" s="29" t="str">
        <f>IFERROR(__xludf.DUMMYFUNCTION("""COMPUTED_VALUE"""),"La mascotita está contigo  🐾🎉")</f>
        <v>La mascotita está contigo  🐾🎉</v>
      </c>
    </row>
    <row r="107" ht="15.75" customHeight="1">
      <c r="A107" s="28" t="s">
        <v>221</v>
      </c>
      <c r="B107" s="28" t="s">
        <v>33</v>
      </c>
      <c r="C107" s="29" t="str">
        <f>IFERROR(__xludf.DUMMYFUNCTION("""COMPUTED_VALUE"""),"Claudia Cecilia López Linares ")</f>
        <v>Claudia Cecilia López Linares </v>
      </c>
      <c r="E107" s="29" t="str">
        <f>IFERROR(__xludf.DUMMYFUNCTION("""COMPUTED_VALUE"""),"P06 Pulsera con hilo negro dije oval s/149")</f>
        <v>P06 Pulsera con hilo negro dije oval s/149</v>
      </c>
      <c r="F107" s="23">
        <v>46058.0</v>
      </c>
      <c r="G107" s="23"/>
      <c r="H107" s="23">
        <v>46065.0</v>
      </c>
      <c r="I107" s="29">
        <f>IFERROR(__xludf.DUMMYFUNCTION("""COMPUTED_VALUE"""),1.0)</f>
        <v>1</v>
      </c>
      <c r="K107" s="29" t="str">
        <f>IFERROR(__xludf.DUMMYFUNCTION("""COMPUTED_VALUE"""),"No")</f>
        <v>No</v>
      </c>
      <c r="L107" s="29" t="str">
        <f>IFERROR(__xludf.DUMMYFUNCTION("""COMPUTED_VALUE"""),"Oliver ")</f>
        <v>Oliver </v>
      </c>
      <c r="M107" s="28" t="s">
        <v>36</v>
      </c>
      <c r="O107" s="28">
        <v>164.0</v>
      </c>
      <c r="P107" s="28">
        <v>0.0</v>
      </c>
      <c r="Q107" s="28">
        <v>164.0</v>
      </c>
      <c r="R107" s="28">
        <v>82.0</v>
      </c>
      <c r="S107" s="28">
        <v>82.0</v>
      </c>
      <c r="W107" s="29">
        <f>IFERROR(__xludf.DUMMYFUNCTION("""COMPUTED_VALUE"""),9.99389331E8)</f>
        <v>999389331</v>
      </c>
      <c r="X107" s="29" t="str">
        <f>IFERROR(__xludf.DUMMYFUNCTION("""COMPUTED_VALUE"""),"No")</f>
        <v>No</v>
      </c>
      <c r="Y107" s="29" t="str">
        <f>IFERROR(__xludf.DUMMYFUNCTION("""COMPUTED_VALUE"""),"No")</f>
        <v>No</v>
      </c>
      <c r="Z107" s="29" t="str">
        <f>IFERROR(__xludf.DUMMYFUNCTION("""COMPUTED_VALUE"""),"Para mi")</f>
        <v>Para mi</v>
      </c>
      <c r="AB107" s="30" t="str">
        <f>IFERROR(__xludf.DUMMYFUNCTION("""COMPUTED_VALUE"""),"Sandra")</f>
        <v>Sandra</v>
      </c>
      <c r="AD107" s="29" t="str">
        <f>IFERROR(__xludf.DUMMYFUNCTION("""COMPUTED_VALUE"""),"Pulsera de acero")</f>
        <v>Pulsera de acero</v>
      </c>
      <c r="AE107" s="29" t="str">
        <f>IFERROR(__xludf.DUMMYFUNCTION("""COMPUTED_VALUE"""),"La mascotita está contigo  🐾🎉")</f>
        <v>La mascotita está contigo  🐾🎉</v>
      </c>
    </row>
    <row r="108" ht="15.75" customHeight="1">
      <c r="A108" s="28" t="s">
        <v>222</v>
      </c>
      <c r="B108" s="28" t="s">
        <v>33</v>
      </c>
      <c r="C108" s="29" t="str">
        <f>IFERROR(__xludf.DUMMYFUNCTION("""COMPUTED_VALUE"""),"César Andrés Gálvez Vásquez")</f>
        <v>César Andrés Gálvez Vásquez</v>
      </c>
      <c r="E108" s="29" t="str">
        <f>IFERROR(__xludf.DUMMYFUNCTION("""COMPUTED_VALUE"""),"Collar modelo cabecita")</f>
        <v>Collar modelo cabecita</v>
      </c>
      <c r="F108" s="23">
        <v>46059.0</v>
      </c>
      <c r="G108" s="23"/>
      <c r="H108" s="23">
        <v>46066.0</v>
      </c>
      <c r="I108" s="29">
        <f>IFERROR(__xludf.DUMMYFUNCTION("""COMPUTED_VALUE"""),1.0)</f>
        <v>1</v>
      </c>
      <c r="K108" s="29" t="str">
        <f>IFERROR(__xludf.DUMMYFUNCTION("""COMPUTED_VALUE"""),"Ela")</f>
        <v>Ela</v>
      </c>
      <c r="L108" s="29" t="str">
        <f>IFERROR(__xludf.DUMMYFUNCTION("""COMPUTED_VALUE"""),"28/03/2018")</f>
        <v>28/03/2018</v>
      </c>
      <c r="M108" s="28" t="s">
        <v>36</v>
      </c>
      <c r="O108" s="28">
        <v>190.0</v>
      </c>
      <c r="P108" s="28">
        <v>12.0</v>
      </c>
      <c r="Q108" s="28">
        <v>202.0</v>
      </c>
      <c r="R108" s="28">
        <v>93.5</v>
      </c>
      <c r="S108" s="28">
        <v>108.5</v>
      </c>
      <c r="W108" s="29" t="str">
        <f>IFERROR(__xludf.DUMMYFUNCTION("""COMPUTED_VALUE"""),"937 827 748")</f>
        <v>937 827 748</v>
      </c>
      <c r="X108" s="29" t="str">
        <f>IFERROR(__xludf.DUMMYFUNCTION("""COMPUTED_VALUE"""),"NO")</f>
        <v>NO</v>
      </c>
      <c r="Y108" s="29" t="str">
        <f>IFERROR(__xludf.DUMMYFUNCTION("""COMPUTED_VALUE"""),"CÉSAR ANDRÉS GÁLVEZ CÁSQUEZ - 937827748 - 75425719 - AGENCIA SHALOM CHINCHAYSUYO ZÁRATE")</f>
        <v>CÉSAR ANDRÉS GÁLVEZ CÁSQUEZ - 937827748 - 75425719 - AGENCIA SHALOM CHINCHAYSUYO ZÁRATE</v>
      </c>
      <c r="Z108" s="29" t="str">
        <f>IFERROR(__xludf.DUMMYFUNCTION("""COMPUTED_VALUE"""),"Amiga")</f>
        <v>Amiga</v>
      </c>
      <c r="AB108" s="30" t="str">
        <f>IFERROR(__xludf.DUMMYFUNCTION("""COMPUTED_VALUE"""),"Denisse")</f>
        <v>Denisse</v>
      </c>
      <c r="AC108" s="28" t="s">
        <v>223</v>
      </c>
      <c r="AD108" s="29" t="str">
        <f>IFERROR(__xludf.DUMMYFUNCTION("""COMPUTED_VALUE"""),"No")</f>
        <v>No</v>
      </c>
      <c r="AE108" s="29" t="str">
        <f>IFERROR(__xludf.DUMMYFUNCTION("""COMPUTED_VALUE"""),"La mascotita está contigo  🐾🎉")</f>
        <v>La mascotita está contigo  🐾🎉</v>
      </c>
    </row>
    <row r="109" ht="15.75" customHeight="1">
      <c r="A109" s="28" t="s">
        <v>224</v>
      </c>
      <c r="B109" s="28" t="s">
        <v>33</v>
      </c>
      <c r="C109" s="29" t="str">
        <f>IFERROR(__xludf.DUMMYFUNCTION("""COMPUTED_VALUE"""),"Daniel de la Cruz Guivin ")</f>
        <v>Daniel de la Cruz Guivin </v>
      </c>
      <c r="E109" s="29" t="str">
        <f>IFERROR(__xludf.DUMMYFUNCTION("""COMPUTED_VALUE"""),"P03 Pulsera dije circular 2cm con orejas s/149")</f>
        <v>P03 Pulsera dije circular 2cm con orejas s/149</v>
      </c>
      <c r="F109" s="23">
        <v>46060.0</v>
      </c>
      <c r="G109" s="23"/>
      <c r="H109" s="23">
        <v>46065.0</v>
      </c>
      <c r="I109" s="29">
        <f>IFERROR(__xludf.DUMMYFUNCTION("""COMPUTED_VALUE"""),2.0)</f>
        <v>2</v>
      </c>
      <c r="K109" s="29" t="str">
        <f>IFERROR(__xludf.DUMMYFUNCTION("""COMPUTED_VALUE"""),"Si")</f>
        <v>Si</v>
      </c>
      <c r="L109" s="29" t="str">
        <f>IFERROR(__xludf.DUMMYFUNCTION("""COMPUTED_VALUE"""),"No")</f>
        <v>No</v>
      </c>
      <c r="O109" s="28">
        <v>310.0</v>
      </c>
      <c r="P109" s="28">
        <v>12.0</v>
      </c>
      <c r="Q109" s="28">
        <v>322.0</v>
      </c>
      <c r="R109" s="28">
        <v>155.0</v>
      </c>
      <c r="S109" s="28">
        <v>167.0</v>
      </c>
      <c r="W109" s="29">
        <f>IFERROR(__xludf.DUMMYFUNCTION("""COMPUTED_VALUE"""),9.48044943E8)</f>
        <v>948044943</v>
      </c>
      <c r="X109" s="29" t="str">
        <f>IFERROR(__xludf.DUMMYFUNCTION("""COMPUTED_VALUE"""),"Av. Tomas Marsano 368 - Surquillo (torre A departamento 606)")</f>
        <v>Av. Tomas Marsano 368 - Surquillo (torre A departamento 606)</v>
      </c>
      <c r="Y109" s="29" t="str">
        <f>IFERROR(__xludf.DUMMYFUNCTION("""COMPUTED_VALUE"""),"Kriss García Lazaro DNI 45730054 ")</f>
        <v>Kriss García Lazaro DNI 45730054 </v>
      </c>
      <c r="Z109" s="29" t="str">
        <f>IFERROR(__xludf.DUMMYFUNCTION("""COMPUTED_VALUE"""),"Para mi")</f>
        <v>Para mi</v>
      </c>
      <c r="AB109" s="30" t="str">
        <f>IFERROR(__xludf.DUMMYFUNCTION("""COMPUTED_VALUE"""),"Sandra")</f>
        <v>Sandra</v>
      </c>
      <c r="AC109" s="28" t="s">
        <v>225</v>
      </c>
      <c r="AD109" s="29" t="str">
        <f>IFERROR(__xludf.DUMMYFUNCTION("""COMPUTED_VALUE"""),"Ninguna")</f>
        <v>Ninguna</v>
      </c>
      <c r="AE109" s="29" t="str">
        <f>IFERROR(__xludf.DUMMYFUNCTION("""COMPUTED_VALUE"""),"La mascotita ya está en el arcoiris 🌈🙏")</f>
        <v>La mascotita ya está en el arcoiris 🌈🙏</v>
      </c>
    </row>
    <row r="110" ht="15.75" customHeight="1">
      <c r="A110" s="28" t="s">
        <v>226</v>
      </c>
      <c r="B110" s="28" t="s">
        <v>33</v>
      </c>
      <c r="C110" s="29" t="str">
        <f>IFERROR(__xludf.DUMMYFUNCTION("""COMPUTED_VALUE"""),"Jhovana Vilcherrez Panta ")</f>
        <v>Jhovana Vilcherrez Panta </v>
      </c>
      <c r="E110" s="29" t="str">
        <f>IFERROR(__xludf.DUMMYFUNCTION("""COMPUTED_VALUE"""),"P03 Pulsera dije circular 2cm con orejas s/149")</f>
        <v>P03 Pulsera dije circular 2cm con orejas s/149</v>
      </c>
      <c r="F110" s="23">
        <v>46062.0</v>
      </c>
      <c r="G110" s="23"/>
      <c r="H110" s="23">
        <v>46065.0</v>
      </c>
      <c r="I110" s="29">
        <f>IFERROR(__xludf.DUMMYFUNCTION("""COMPUTED_VALUE"""),1.0)</f>
        <v>1</v>
      </c>
      <c r="K110" s="29" t="str">
        <f>IFERROR(__xludf.DUMMYFUNCTION("""COMPUTED_VALUE"""),"Rayfu")</f>
        <v>Rayfu</v>
      </c>
      <c r="L110" s="29">
        <f>IFERROR(__xludf.DUMMYFUNCTION("""COMPUTED_VALUE"""),0.0)</f>
        <v>0</v>
      </c>
      <c r="M110" s="28" t="s">
        <v>36</v>
      </c>
      <c r="O110" s="28">
        <v>199.0</v>
      </c>
      <c r="P110" s="28">
        <v>12.0</v>
      </c>
      <c r="Q110" s="28">
        <v>211.0</v>
      </c>
      <c r="R110" s="28">
        <v>0.0</v>
      </c>
      <c r="S110" s="28">
        <v>211.0</v>
      </c>
      <c r="W110" s="29">
        <f>IFERROR(__xludf.DUMMYFUNCTION("""COMPUTED_VALUE"""),9.26438148E8)</f>
        <v>926438148</v>
      </c>
      <c r="X110" s="29">
        <f>IFERROR(__xludf.DUMMYFUNCTION("""COMPUTED_VALUE"""),0.0)</f>
        <v>0</v>
      </c>
      <c r="Y110" s="29" t="str">
        <f>IFERROR(__xludf.DUMMYFUNCTION("""COMPUTED_VALUE"""),"Jhovana Fiorella Vilcherrez Panta 926 438 148 dni 48094948")</f>
        <v>Jhovana Fiorella Vilcherrez Panta 926 438 148 dni 48094948</v>
      </c>
      <c r="Z110" s="29" t="str">
        <f>IFERROR(__xludf.DUMMYFUNCTION("""COMPUTED_VALUE"""),"Debora Elizabeth Vilcherrez Panta")</f>
        <v>Debora Elizabeth Vilcherrez Panta</v>
      </c>
      <c r="AB110" s="30" t="str">
        <f>IFERROR(__xludf.DUMMYFUNCTION("""COMPUTED_VALUE"""),"Sandra")</f>
        <v>Sandra</v>
      </c>
      <c r="AC110" s="28" t="s">
        <v>227</v>
      </c>
      <c r="AD110" s="29">
        <f>IFERROR(__xludf.DUMMYFUNCTION("""COMPUTED_VALUE"""),0.0)</f>
        <v>0</v>
      </c>
      <c r="AE110" s="29" t="str">
        <f>IFERROR(__xludf.DUMMYFUNCTION("""COMPUTED_VALUE"""),"La mascotita está contigo  🐾🎉")</f>
        <v>La mascotita está contigo  🐾🎉</v>
      </c>
    </row>
    <row r="111" ht="15.75" customHeight="1">
      <c r="A111" s="28" t="s">
        <v>228</v>
      </c>
      <c r="B111" s="28" t="s">
        <v>33</v>
      </c>
      <c r="C111" s="29" t="str">
        <f>IFERROR(__xludf.DUMMYFUNCTION("""COMPUTED_VALUE"""),"Jael Torres Llamo ")</f>
        <v>Jael Torres Llamo </v>
      </c>
      <c r="E111" s="29" t="str">
        <f>IFERROR(__xludf.DUMMYFUNCTION("""COMPUTED_VALUE"""),"Un collar acero dorado y una pulsera. 2 pedidos")</f>
        <v>Un collar acero dorado y una pulsera. 2 pedidos</v>
      </c>
      <c r="F111" s="23">
        <v>46062.0</v>
      </c>
      <c r="G111" s="23"/>
      <c r="H111" s="23">
        <v>46066.0</v>
      </c>
      <c r="I111" s="29">
        <f>IFERROR(__xludf.DUMMYFUNCTION("""COMPUTED_VALUE"""),2.0)</f>
        <v>2</v>
      </c>
      <c r="K111" s="29" t="str">
        <f>IFERROR(__xludf.DUMMYFUNCTION("""COMPUTED_VALUE"""),"Si, grabar su nombre, Toby")</f>
        <v>Si, grabar su nombre, Toby</v>
      </c>
      <c r="L111" s="29" t="str">
        <f>IFERROR(__xludf.DUMMYFUNCTION("""COMPUTED_VALUE"""),"No")</f>
        <v>No</v>
      </c>
      <c r="M111" s="28" t="s">
        <v>36</v>
      </c>
      <c r="O111" s="28">
        <v>158.0</v>
      </c>
      <c r="P111" s="28">
        <v>12.0</v>
      </c>
      <c r="Q111" s="28">
        <v>170.0</v>
      </c>
      <c r="R111" s="28">
        <v>85.0</v>
      </c>
      <c r="S111" s="28">
        <v>85.0</v>
      </c>
      <c r="W111" s="29">
        <f>IFERROR(__xludf.DUMMYFUNCTION("""COMPUTED_VALUE"""),9.58655619E8)</f>
        <v>958655619</v>
      </c>
      <c r="X111" s="29" t="str">
        <f>IFERROR(__xludf.DUMMYFUNCTION("""COMPUTED_VALUE"""),"Sector 3 grupo 17 manzana O lote 24. Jael Torres 958655619")</f>
        <v>Sector 3 grupo 17 manzana O lote 24. Jael Torres 958655619</v>
      </c>
      <c r="Y111" s="29" t="str">
        <f>IFERROR(__xludf.DUMMYFUNCTION("""COMPUTED_VALUE"""),"No")</f>
        <v>No</v>
      </c>
      <c r="Z111" s="29" t="str">
        <f>IFERROR(__xludf.DUMMYFUNCTION("""COMPUTED_VALUE"""),"Para mi")</f>
        <v>Para mi</v>
      </c>
      <c r="AB111" s="30" t="str">
        <f>IFERROR(__xludf.DUMMYFUNCTION("""COMPUTED_VALUE"""),"Denisse")</f>
        <v>Denisse</v>
      </c>
      <c r="AC111" s="28" t="s">
        <v>229</v>
      </c>
      <c r="AD111" s="29" t="str">
        <f>IFERROR(__xludf.DUMMYFUNCTION("""COMPUTED_VALUE"""),"La cadena es dorada y la pulsera plateada color de hilo negro. Y el nombre de mi perrito es Toby y quisiera que vaya escrito en la cadena y en la pulsera. Gracias ")</f>
        <v>La cadena es dorada y la pulsera plateada color de hilo negro. Y el nombre de mi perrito es Toby y quisiera que vaya escrito en la cadena y en la pulsera. Gracias </v>
      </c>
      <c r="AE111" s="29" t="str">
        <f>IFERROR(__xludf.DUMMYFUNCTION("""COMPUTED_VALUE"""),"La mascotita ya está en el arcoiris 🌈🙏")</f>
        <v>La mascotita ya está en el arcoiris 🌈🙏</v>
      </c>
    </row>
    <row r="112" ht="15.75" customHeight="1">
      <c r="A112" s="28" t="s">
        <v>230</v>
      </c>
      <c r="B112" s="28" t="s">
        <v>33</v>
      </c>
      <c r="C112" s="29" t="str">
        <f>IFERROR(__xludf.DUMMYFUNCTION("""COMPUTED_VALUE"""),"Roxana Sumerente ")</f>
        <v>Roxana Sumerente </v>
      </c>
      <c r="E112" s="29" t="str">
        <f>IFERROR(__xludf.DUMMYFUNCTION("""COMPUTED_VALUE"""),"P07 Pulsera con hilo negro dije circular s/149")</f>
        <v>P07 Pulsera con hilo negro dije circular s/149</v>
      </c>
      <c r="F112" s="23">
        <v>46063.0</v>
      </c>
      <c r="G112" s="23"/>
      <c r="H112" s="23">
        <v>46066.0</v>
      </c>
      <c r="I112" s="29">
        <f>IFERROR(__xludf.DUMMYFUNCTION("""COMPUTED_VALUE"""),1.0)</f>
        <v>1</v>
      </c>
      <c r="K112" s="29" t="str">
        <f>IFERROR(__xludf.DUMMYFUNCTION("""COMPUTED_VALUE"""),"si")</f>
        <v>si</v>
      </c>
      <c r="L112" s="29" t="str">
        <f>IFERROR(__xludf.DUMMYFUNCTION("""COMPUTED_VALUE"""),"NO")</f>
        <v>NO</v>
      </c>
      <c r="M112" s="28"/>
      <c r="O112" s="28">
        <v>149.0</v>
      </c>
      <c r="P112" s="28">
        <v>12.0</v>
      </c>
      <c r="Q112" s="28">
        <v>161.0</v>
      </c>
      <c r="R112" s="28">
        <v>80.5</v>
      </c>
      <c r="S112" s="28">
        <v>80.5</v>
      </c>
      <c r="W112" s="29">
        <f>IFERROR(__xludf.DUMMYFUNCTION("""COMPUTED_VALUE"""),9.77244378E8)</f>
        <v>977244378</v>
      </c>
      <c r="X112" s="29" t="str">
        <f>IFERROR(__xludf.DUMMYFUNCTION("""COMPUTED_VALUE"""),"NO")</f>
        <v>NO</v>
      </c>
      <c r="Y112" s="29" t="str">
        <f>IFERROR(__xludf.DUMMYFUNCTION("""COMPUTED_VALUE"""),"Roxana Sumerente Velasquez cel 977244378 DNI 29725872 AGENCIA TICA TICA - CUSCO")</f>
        <v>Roxana Sumerente Velasquez cel 977244378 DNI 29725872 AGENCIA TICA TICA - CUSCO</v>
      </c>
      <c r="Z112" s="29" t="str">
        <f>IFERROR(__xludf.DUMMYFUNCTION("""COMPUTED_VALUE"""),"Para mi")</f>
        <v>Para mi</v>
      </c>
      <c r="AB112" s="30" t="str">
        <f>IFERROR(__xludf.DUMMYFUNCTION("""COMPUTED_VALUE"""),"Sandra")</f>
        <v>Sandra</v>
      </c>
      <c r="AC112" s="28"/>
      <c r="AD112" s="29" t="str">
        <f>IFERROR(__xludf.DUMMYFUNCTION("""COMPUTED_VALUE"""),"TIENE QUE IR SU NOMBRE   RICK")</f>
        <v>TIENE QUE IR SU NOMBRE   RICK</v>
      </c>
      <c r="AE112" s="29" t="str">
        <f>IFERROR(__xludf.DUMMYFUNCTION("""COMPUTED_VALUE"""),"La mascotita está contigo  🐾🎉")</f>
        <v>La mascotita está contigo  🐾🎉</v>
      </c>
    </row>
    <row r="113" ht="15.75" customHeight="1">
      <c r="A113" s="28" t="s">
        <v>231</v>
      </c>
      <c r="B113" s="28" t="s">
        <v>33</v>
      </c>
      <c r="C113" s="29" t="str">
        <f>IFERROR(__xludf.DUMMYFUNCTION("""COMPUTED_VALUE"""),"Iván Cribilleros Barrenechea ")</f>
        <v>Iván Cribilleros Barrenechea </v>
      </c>
      <c r="E113" s="29" t="str">
        <f>IFERROR(__xludf.DUMMYFUNCTION("""COMPUTED_VALUE"""),"pulsera Westie. Con grabado E&amp;L. Tamaño de la pulsera aprox en 16cm")</f>
        <v>pulsera Westie. Con grabado E&amp;L. Tamaño de la pulsera aprox en 16cm</v>
      </c>
      <c r="F113" s="23">
        <v>46064.0</v>
      </c>
      <c r="G113" s="23"/>
      <c r="H113" s="23">
        <v>46065.0</v>
      </c>
      <c r="I113" s="29">
        <f>IFERROR(__xludf.DUMMYFUNCTION("""COMPUTED_VALUE"""),1.0)</f>
        <v>1</v>
      </c>
      <c r="K113" s="29" t="str">
        <f>IFERROR(__xludf.DUMMYFUNCTION("""COMPUTED_VALUE"""),"E&amp;L")</f>
        <v>E&amp;L</v>
      </c>
      <c r="L113" s="29" t="str">
        <f>IFERROR(__xludf.DUMMYFUNCTION("""COMPUTED_VALUE"""),"No tiene grabado atrás ")</f>
        <v>No tiene grabado atrás </v>
      </c>
      <c r="M113" s="28"/>
      <c r="O113" s="28">
        <v>109.0</v>
      </c>
      <c r="P113" s="28">
        <v>0.0</v>
      </c>
      <c r="Q113" s="28">
        <v>109.0</v>
      </c>
      <c r="R113" s="28">
        <v>0.0</v>
      </c>
      <c r="S113" s="28">
        <v>109.0</v>
      </c>
      <c r="W113" s="29">
        <f>IFERROR(__xludf.DUMMYFUNCTION("""COMPUTED_VALUE"""),9.48297129E8)</f>
        <v>948297129</v>
      </c>
      <c r="X113" s="29" t="str">
        <f>IFERROR(__xludf.DUMMYFUNCTION("""COMPUTED_VALUE"""),"Ca. Roentgen 213 Dpto. 701, Urb. La Calera, Surquillo ")</f>
        <v>Ca. Roentgen 213 Dpto. 701, Urb. La Calera, Surquillo </v>
      </c>
      <c r="Y113" s="29" t="str">
        <f>IFERROR(__xludf.DUMMYFUNCTION("""COMPUTED_VALUE"""),"-")</f>
        <v>-</v>
      </c>
      <c r="Z113" s="29" t="str">
        <f>IFERROR(__xludf.DUMMYFUNCTION("""COMPUTED_VALUE"""),"Evelyn Paredes")</f>
        <v>Evelyn Paredes</v>
      </c>
      <c r="AB113" s="30" t="str">
        <f>IFERROR(__xludf.DUMMYFUNCTION("""COMPUTED_VALUE"""),"Sandra")</f>
        <v>Sandra</v>
      </c>
      <c r="AC113" s="28" t="s">
        <v>232</v>
      </c>
      <c r="AD113" s="29" t="str">
        <f>IFERROR(__xludf.DUMMYFUNCTION("""COMPUTED_VALUE"""),"Lo necesito para mañana por la tarde entre 5 o 6 PM ya que salgo de viaje. Gracias ")</f>
        <v>Lo necesito para mañana por la tarde entre 5 o 6 PM ya que salgo de viaje. Gracias </v>
      </c>
      <c r="AE113" s="29" t="str">
        <f>IFERROR(__xludf.DUMMYFUNCTION("""COMPUTED_VALUE"""),"No es de mascotita")</f>
        <v>No es de mascotita</v>
      </c>
    </row>
    <row r="114" ht="15.75" customHeight="1">
      <c r="A114" s="28" t="s">
        <v>233</v>
      </c>
      <c r="B114" s="28" t="s">
        <v>234</v>
      </c>
      <c r="C114" s="29" t="str">
        <f>IFERROR(__xludf.DUMMYFUNCTION("""COMPUTED_VALUE"""),"sa")</f>
        <v>sa</v>
      </c>
      <c r="E114" s="29" t="str">
        <f>IFERROR(__xludf.DUMMYFUNCTION("""COMPUTED_VALUE"""),"dije")</f>
        <v>dije</v>
      </c>
      <c r="F114" s="23">
        <v>46072.0</v>
      </c>
      <c r="G114" s="23"/>
      <c r="H114" s="23">
        <v>46076.0</v>
      </c>
      <c r="I114" s="29">
        <f>IFERROR(__xludf.DUMMYFUNCTION("""COMPUTED_VALUE"""),1.0)</f>
        <v>1</v>
      </c>
      <c r="K114" s="29" t="str">
        <f>IFERROR(__xludf.DUMMYFUNCTION("""COMPUTED_VALUE"""),"x")</f>
        <v>x</v>
      </c>
      <c r="L114" s="29" t="str">
        <f>IFERROR(__xludf.DUMMYFUNCTION("""COMPUTED_VALUE"""),"x")</f>
        <v>x</v>
      </c>
      <c r="M114" s="28"/>
      <c r="O114" s="28">
        <v>0.0</v>
      </c>
      <c r="P114" s="28">
        <v>0.0</v>
      </c>
      <c r="Q114" s="28">
        <v>0.0</v>
      </c>
      <c r="R114" s="28">
        <v>0.0</v>
      </c>
      <c r="S114" s="28">
        <v>0.0</v>
      </c>
      <c r="W114" s="29">
        <f>IFERROR(__xludf.DUMMYFUNCTION("""COMPUTED_VALUE"""),1.0)</f>
        <v>1</v>
      </c>
      <c r="X114" s="29" t="str">
        <f>IFERROR(__xludf.DUMMYFUNCTION("""COMPUTED_VALUE"""),"x")</f>
        <v>x</v>
      </c>
      <c r="Y114" s="29" t="str">
        <f>IFERROR(__xludf.DUMMYFUNCTION("""COMPUTED_VALUE"""),"x")</f>
        <v>x</v>
      </c>
      <c r="Z114" s="29" t="str">
        <f>IFERROR(__xludf.DUMMYFUNCTION("""COMPUTED_VALUE"""),"Para mi")</f>
        <v>Para mi</v>
      </c>
      <c r="AB114" s="30" t="str">
        <f>IFERROR(__xludf.DUMMYFUNCTION("""COMPUTED_VALUE"""),"Sandra")</f>
        <v>Sandra</v>
      </c>
      <c r="AC114" s="28"/>
      <c r="AD114" s="29" t="str">
        <f>IFERROR(__xludf.DUMMYFUNCTION("""COMPUTED_VALUE"""),"x")</f>
        <v>x</v>
      </c>
      <c r="AE114" s="29" t="str">
        <f>IFERROR(__xludf.DUMMYFUNCTION("""COMPUTED_VALUE"""),"La mascotita ya está en el arcoiris 🌈🙏")</f>
        <v>La mascotita ya está en el arcoiris 🌈🙏</v>
      </c>
    </row>
    <row r="115" ht="15.75" customHeight="1">
      <c r="A115" s="28" t="s">
        <v>235</v>
      </c>
      <c r="B115" s="28" t="s">
        <v>33</v>
      </c>
      <c r="C115" s="29" t="str">
        <f>IFERROR(__xludf.DUMMYFUNCTION("""COMPUTED_VALUE"""),"Sonaly Maurett Sifuentes Quiñones ")</f>
        <v>Sonaly Maurett Sifuentes Quiñones </v>
      </c>
      <c r="E115" s="29" t="str">
        <f>IFERROR(__xludf.DUMMYFUNCTION("""COMPUTED_VALUE"""),"P03 Pulsera dije circular 2cm con orejas s/149")</f>
        <v>P03 Pulsera dije circular 2cm con orejas s/149</v>
      </c>
      <c r="F115" s="23">
        <v>46069.0</v>
      </c>
      <c r="G115" s="23"/>
      <c r="H115" s="23">
        <v>46076.0</v>
      </c>
      <c r="I115" s="29">
        <f>IFERROR(__xludf.DUMMYFUNCTION("""COMPUTED_VALUE"""),1.0)</f>
        <v>1</v>
      </c>
      <c r="K115" s="29" t="str">
        <f>IFERROR(__xludf.DUMMYFUNCTION("""COMPUTED_VALUE"""),"Brownie")</f>
        <v>Brownie</v>
      </c>
      <c r="L115" s="29" t="str">
        <f>IFERROR(__xludf.DUMMYFUNCTION("""COMPUTED_VALUE"""),"No tiene ")</f>
        <v>No tiene </v>
      </c>
      <c r="M115" s="28" t="s">
        <v>36</v>
      </c>
      <c r="O115" s="28">
        <v>169.0</v>
      </c>
      <c r="P115" s="28">
        <v>12.0</v>
      </c>
      <c r="Q115" s="28">
        <v>181.0</v>
      </c>
      <c r="R115" s="28">
        <v>84.5</v>
      </c>
      <c r="S115" s="28">
        <v>96.5</v>
      </c>
      <c r="W115" s="29">
        <f>IFERROR(__xludf.DUMMYFUNCTION("""COMPUTED_VALUE"""),9.97869024E8)</f>
        <v>997869024</v>
      </c>
      <c r="X115" s="29" t="str">
        <f>IFERROR(__xludf.DUMMYFUNCTION("""COMPUTED_VALUE"""),"No es moto")</f>
        <v>No es moto</v>
      </c>
      <c r="Y115" s="29" t="str">
        <f>IFERROR(__xludf.DUMMYFUNCTION("""COMPUTED_VALUE"""),"Sonaly Maurett Sifuentes Quiñones, Cel. 997869024, DNI N°47863727, agencias Huaraz- Ancash")</f>
        <v>Sonaly Maurett Sifuentes Quiñones, Cel. 997869024, DNI N°47863727, agencias Huaraz- Ancash</v>
      </c>
      <c r="Z115" s="29" t="str">
        <f>IFERROR(__xludf.DUMMYFUNCTION("""COMPUTED_VALUE"""),"Hellen ")</f>
        <v>Hellen </v>
      </c>
      <c r="AB115" s="30" t="str">
        <f>IFERROR(__xludf.DUMMYFUNCTION("""COMPUTED_VALUE"""),"Sandra")</f>
        <v>Sandra</v>
      </c>
      <c r="AC115" s="28"/>
      <c r="AD115" s="29" t="str">
        <f>IFERROR(__xludf.DUMMYFUNCTION("""COMPUTED_VALUE"""),"Muchas gracias ")</f>
        <v>Muchas gracias </v>
      </c>
      <c r="AE115" s="29" t="str">
        <f>IFERROR(__xludf.DUMMYFUNCTION("""COMPUTED_VALUE"""),"La mascotita está contigo  🐾🎉")</f>
        <v>La mascotita está contigo  🐾🎉</v>
      </c>
    </row>
    <row r="116" ht="15.75" customHeight="1">
      <c r="A116" s="28" t="s">
        <v>236</v>
      </c>
      <c r="B116" s="28" t="s">
        <v>33</v>
      </c>
      <c r="C116" s="29" t="str">
        <f>IFERROR(__xludf.DUMMYFUNCTION("""COMPUTED_VALUE"""),"Mónica Luna ")</f>
        <v>Mónica Luna </v>
      </c>
      <c r="E116" s="29" t="str">
        <f>IFERROR(__xludf.DUMMYFUNCTION("""COMPUTED_VALUE"""),"Pulsera huella ")</f>
        <v>Pulsera huella </v>
      </c>
      <c r="F116" s="23">
        <v>46071.0</v>
      </c>
      <c r="G116" s="23"/>
      <c r="H116" s="23">
        <v>46078.0</v>
      </c>
      <c r="I116" s="29">
        <f>IFERROR(__xludf.DUMMYFUNCTION("""COMPUTED_VALUE"""),1.0)</f>
        <v>1</v>
      </c>
      <c r="K116" s="29" t="str">
        <f>IFERROR(__xludf.DUMMYFUNCTION("""COMPUTED_VALUE"""),"Si")</f>
        <v>Si</v>
      </c>
      <c r="L116" s="29" t="str">
        <f>IFERROR(__xludf.DUMMYFUNCTION("""COMPUTED_VALUE"""),"No")</f>
        <v>No</v>
      </c>
      <c r="M116" s="28" t="s">
        <v>36</v>
      </c>
      <c r="O116" s="28">
        <v>69.0</v>
      </c>
      <c r="P116" s="28">
        <v>10.0</v>
      </c>
      <c r="Q116" s="28">
        <v>79.0</v>
      </c>
      <c r="R116" s="28">
        <v>69.0</v>
      </c>
      <c r="S116" s="28">
        <v>10.0</v>
      </c>
      <c r="W116" s="29">
        <f>IFERROR(__xludf.DUMMYFUNCTION("""COMPUTED_VALUE"""),9.47292985E8)</f>
        <v>947292985</v>
      </c>
      <c r="X116" s="29" t="str">
        <f>IFERROR(__xludf.DUMMYFUNCTION("""COMPUTED_VALUE"""),"Avenida Uruguay 344 interior 106 cercado de Lima celular 947292985")</f>
        <v>Avenida Uruguay 344 interior 106 cercado de Lima celular 947292985</v>
      </c>
      <c r="Y116" s="29" t="str">
        <f>IFERROR(__xludf.DUMMYFUNCTION("""COMPUTED_VALUE"""),"No")</f>
        <v>No</v>
      </c>
      <c r="Z116" s="29" t="str">
        <f>IFERROR(__xludf.DUMMYFUNCTION("""COMPUTED_VALUE"""),"Para mi")</f>
        <v>Para mi</v>
      </c>
      <c r="AB116" s="30" t="str">
        <f>IFERROR(__xludf.DUMMYFUNCTION("""COMPUTED_VALUE"""),"Linda")</f>
        <v>Linda</v>
      </c>
      <c r="AC116" s="28" t="s">
        <v>237</v>
      </c>
      <c r="AD116" s="29" t="str">
        <f>IFERROR(__xludf.DUMMYFUNCTION("""COMPUTED_VALUE"""),"El nombre que irá grabado es Martincito ")</f>
        <v>El nombre que irá grabado es Martincito </v>
      </c>
      <c r="AE116" s="29" t="str">
        <f>IFERROR(__xludf.DUMMYFUNCTION("""COMPUTED_VALUE"""),"La mascotita está contigo  🐾🎉")</f>
        <v>La mascotita está contigo  🐾🎉</v>
      </c>
    </row>
    <row r="117" ht="15.75" customHeight="1">
      <c r="A117" s="28" t="s">
        <v>238</v>
      </c>
      <c r="B117" s="28" t="s">
        <v>33</v>
      </c>
      <c r="C117" s="29" t="str">
        <f>IFERROR(__xludf.DUMMYFUNCTION("""COMPUTED_VALUE"""),"Jeremy Miyagui Marzano Trejo ")</f>
        <v>Jeremy Miyagui Marzano Trejo </v>
      </c>
      <c r="E117" s="29" t="str">
        <f>IFERROR(__xludf.DUMMYFUNCTION("""COMPUTED_VALUE"""),"Pulsera Huella  s/69")</f>
        <v>Pulsera Huella  s/69</v>
      </c>
      <c r="F117" s="23">
        <v>46075.0</v>
      </c>
      <c r="G117" s="23"/>
      <c r="H117" s="23">
        <v>46083.0</v>
      </c>
      <c r="I117" s="29">
        <f>IFERROR(__xludf.DUMMYFUNCTION("""COMPUTED_VALUE"""),1.0)</f>
        <v>1</v>
      </c>
      <c r="K117" s="29" t="str">
        <f>IFERROR(__xludf.DUMMYFUNCTION("""COMPUTED_VALUE"""),"Si ")</f>
        <v>Si </v>
      </c>
      <c r="L117" s="29" t="str">
        <f>IFERROR(__xludf.DUMMYFUNCTION("""COMPUTED_VALUE"""),"No")</f>
        <v>No</v>
      </c>
      <c r="M117" s="28"/>
      <c r="O117" s="28">
        <v>69.0</v>
      </c>
      <c r="P117" s="28">
        <v>12.0</v>
      </c>
      <c r="Q117" s="28">
        <v>81.0</v>
      </c>
      <c r="R117" s="28">
        <v>40.5</v>
      </c>
      <c r="S117" s="28">
        <v>40.5</v>
      </c>
      <c r="W117" s="29">
        <f>IFERROR(__xludf.DUMMYFUNCTION("""COMPUTED_VALUE"""),9.47035549E8)</f>
        <v>947035549</v>
      </c>
      <c r="X117" s="29" t="str">
        <f>IFERROR(__xludf.DUMMYFUNCTION("""COMPUTED_VALUE"""),"No")</f>
        <v>No</v>
      </c>
      <c r="Y117" s="29" t="str">
        <f>IFERROR(__xludf.DUMMYFUNCTION("""COMPUTED_VALUE"""),"Jeremy Miyagui Marzano Trejo, 947035549, 73761743, Shalom Barranca ")</f>
        <v>Jeremy Miyagui Marzano Trejo, 947035549, 73761743, Shalom Barranca </v>
      </c>
      <c r="Z117" s="29" t="str">
        <f>IFERROR(__xludf.DUMMYFUNCTION("""COMPUTED_VALUE"""),"Para mi")</f>
        <v>Para mi</v>
      </c>
      <c r="AB117" s="30" t="str">
        <f>IFERROR(__xludf.DUMMYFUNCTION("""COMPUTED_VALUE"""),"Sandra")</f>
        <v>Sandra</v>
      </c>
      <c r="AC117" s="28" t="s">
        <v>239</v>
      </c>
      <c r="AD117" s="29" t="str">
        <f>IFERROR(__xludf.DUMMYFUNCTION("""COMPUTED_VALUE"""),"Por el momento todo bien ")</f>
        <v>Por el momento todo bien </v>
      </c>
      <c r="AE117" s="29" t="str">
        <f>IFERROR(__xludf.DUMMYFUNCTION("""COMPUTED_VALUE"""),"La mascotita está contigo  🐾🎉")</f>
        <v>La mascotita está contigo  🐾🎉</v>
      </c>
    </row>
    <row r="118" ht="15.75" customHeight="1">
      <c r="A118" s="28" t="s">
        <v>240</v>
      </c>
      <c r="B118" s="28" t="s">
        <v>33</v>
      </c>
      <c r="C118" s="29" t="str">
        <f>IFERROR(__xludf.DUMMYFUNCTION("""COMPUTED_VALUE"""),"Jeremy Miyagui Marzano Trejo ")</f>
        <v>Jeremy Miyagui Marzano Trejo </v>
      </c>
      <c r="E118" s="29" t="str">
        <f>IFERROR(__xludf.DUMMYFUNCTION("""COMPUTED_VALUE"""),"Pulsera Huella s/69")</f>
        <v>Pulsera Huella s/69</v>
      </c>
      <c r="F118" s="23">
        <v>46075.0</v>
      </c>
      <c r="G118" s="23"/>
      <c r="H118" s="23">
        <v>46083.0</v>
      </c>
      <c r="I118" s="29">
        <f>IFERROR(__xludf.DUMMYFUNCTION("""COMPUTED_VALUE"""),1.0)</f>
        <v>1</v>
      </c>
      <c r="K118" s="29" t="str">
        <f>IFERROR(__xludf.DUMMYFUNCTION("""COMPUTED_VALUE"""),"Si")</f>
        <v>Si</v>
      </c>
      <c r="L118" s="29" t="str">
        <f>IFERROR(__xludf.DUMMYFUNCTION("""COMPUTED_VALUE"""),"No")</f>
        <v>No</v>
      </c>
      <c r="M118" s="28"/>
      <c r="O118" s="28">
        <v>69.0</v>
      </c>
      <c r="P118" s="28">
        <v>0.0</v>
      </c>
      <c r="Q118" s="28">
        <v>69.0</v>
      </c>
      <c r="R118" s="28">
        <v>34.5</v>
      </c>
      <c r="S118" s="28">
        <v>34.5</v>
      </c>
      <c r="W118" s="29">
        <f>IFERROR(__xludf.DUMMYFUNCTION("""COMPUTED_VALUE"""),9.47035549E8)</f>
        <v>947035549</v>
      </c>
      <c r="X118" s="29" t="str">
        <f>IFERROR(__xludf.DUMMYFUNCTION("""COMPUTED_VALUE"""),"No")</f>
        <v>No</v>
      </c>
      <c r="Y118" s="29" t="str">
        <f>IFERROR(__xludf.DUMMYFUNCTION("""COMPUTED_VALUE"""),"Jeremy Miyagui Marzano Trejo, 947035549, 73761743, Shalom Barranca ")</f>
        <v>Jeremy Miyagui Marzano Trejo, 947035549, 73761743, Shalom Barranca </v>
      </c>
      <c r="Z118" s="29" t="str">
        <f>IFERROR(__xludf.DUMMYFUNCTION("""COMPUTED_VALUE"""),"Para mi")</f>
        <v>Para mi</v>
      </c>
      <c r="AB118" s="30" t="str">
        <f>IFERROR(__xludf.DUMMYFUNCTION("""COMPUTED_VALUE"""),"Sandra")</f>
        <v>Sandra</v>
      </c>
      <c r="AC118" s="28" t="s">
        <v>241</v>
      </c>
      <c r="AD118" s="29" t="str">
        <f>IFERROR(__xludf.DUMMYFUNCTION("""COMPUTED_VALUE"""),"Todo bien ")</f>
        <v>Todo bien </v>
      </c>
      <c r="AE118" s="29" t="str">
        <f>IFERROR(__xludf.DUMMYFUNCTION("""COMPUTED_VALUE"""),"La mascotita está contigo  🐾🎉")</f>
        <v>La mascotita está contigo  🐾🎉</v>
      </c>
    </row>
    <row r="119" ht="15.75" customHeight="1">
      <c r="A119" s="28" t="s">
        <v>242</v>
      </c>
      <c r="B119" s="28" t="s">
        <v>33</v>
      </c>
      <c r="C119" s="29" t="str">
        <f>IFERROR(__xludf.DUMMYFUNCTION("""COMPUTED_VALUE"""),"Niurka Moreno ")</f>
        <v>Niurka Moreno </v>
      </c>
      <c r="E119" s="29" t="str">
        <f>IFERROR(__xludf.DUMMYFUNCTION("""COMPUTED_VALUE"""),"CL02 Collar dije circular 2cm s/169")</f>
        <v>CL02 Collar dije circular 2cm s/169</v>
      </c>
      <c r="F119" s="23">
        <v>46076.0</v>
      </c>
      <c r="G119" s="23"/>
      <c r="H119" s="23">
        <v>46090.0</v>
      </c>
      <c r="I119" s="29">
        <f>IFERROR(__xludf.DUMMYFUNCTION("""COMPUTED_VALUE"""),1.0)</f>
        <v>1</v>
      </c>
      <c r="K119" s="29" t="str">
        <f>IFERROR(__xludf.DUMMYFUNCTION("""COMPUTED_VALUE"""),"Si su carita ")</f>
        <v>Si su carita </v>
      </c>
      <c r="L119" s="29" t="str">
        <f>IFERROR(__xludf.DUMMYFUNCTION("""COMPUTED_VALUE"""),"-")</f>
        <v>-</v>
      </c>
      <c r="M119" s="28"/>
      <c r="O119" s="28">
        <v>1.0</v>
      </c>
      <c r="P119" s="28">
        <v>12.0</v>
      </c>
      <c r="Q119" s="28">
        <v>13.0</v>
      </c>
      <c r="R119" s="28">
        <v>0.0</v>
      </c>
      <c r="S119" s="28">
        <v>13.0</v>
      </c>
      <c r="W119" s="29">
        <f>IFERROR(__xludf.DUMMYFUNCTION("""COMPUTED_VALUE"""),9.95280757E8)</f>
        <v>995280757</v>
      </c>
      <c r="X119" s="29" t="str">
        <f>IFERROR(__xludf.DUMMYFUNCTION("""COMPUTED_VALUE"""),"Calle cesáreo chacaltana 130 Miraflores / 995280757")</f>
        <v>Calle cesáreo chacaltana 130 Miraflores / 995280757</v>
      </c>
      <c r="Y119" s="29" t="str">
        <f>IFERROR(__xludf.DUMMYFUNCTION("""COMPUTED_VALUE"""),"-")</f>
        <v>-</v>
      </c>
      <c r="Z119" s="29" t="str">
        <f>IFERROR(__xludf.DUMMYFUNCTION("""COMPUTED_VALUE"""),"Para mi")</f>
        <v>Para mi</v>
      </c>
      <c r="AB119" s="30" t="str">
        <f>IFERROR(__xludf.DUMMYFUNCTION("""COMPUTED_VALUE"""),"Sandra")</f>
        <v>Sandra</v>
      </c>
      <c r="AC119" s="28"/>
      <c r="AD119" s="29" t="str">
        <f>IFERROR(__xludf.DUMMYFUNCTION("""COMPUTED_VALUE"""),"Sorteo pipos")</f>
        <v>Sorteo pipos</v>
      </c>
      <c r="AE119" s="29" t="str">
        <f>IFERROR(__xludf.DUMMYFUNCTION("""COMPUTED_VALUE"""),"La mascotita ya está en el arcoiris 🌈🙏")</f>
        <v>La mascotita ya está en el arcoiris 🌈🙏</v>
      </c>
    </row>
    <row r="120" ht="15.75" customHeight="1">
      <c r="A120" s="28" t="s">
        <v>243</v>
      </c>
      <c r="B120" s="28" t="s">
        <v>33</v>
      </c>
      <c r="C120" s="29" t="str">
        <f>IFERROR(__xludf.DUMMYFUNCTION("""COMPUTED_VALUE"""),"Kattia Margot Zegarra Corimaya ")</f>
        <v>Kattia Margot Zegarra Corimaya </v>
      </c>
      <c r="E120" s="29" t="str">
        <f>IFERROR(__xludf.DUMMYFUNCTION("""COMPUTED_VALUE"""),"Collar dije corazón y pulsera con cadena dije corazón 2 cm")</f>
        <v>Collar dije corazón y pulsera con cadena dije corazón 2 cm</v>
      </c>
      <c r="F120" s="23">
        <v>46086.0</v>
      </c>
      <c r="G120" s="23"/>
      <c r="H120" s="23">
        <v>46093.0</v>
      </c>
      <c r="I120" s="29">
        <f>IFERROR(__xludf.DUMMYFUNCTION("""COMPUTED_VALUE"""),2.0)</f>
        <v>2</v>
      </c>
      <c r="K120" s="29" t="str">
        <f>IFERROR(__xludf.DUMMYFUNCTION("""COMPUTED_VALUE"""),"Si - Koby")</f>
        <v>Si - Koby</v>
      </c>
      <c r="L120" s="29" t="str">
        <f>IFERROR(__xludf.DUMMYFUNCTION("""COMPUTED_VALUE"""),"No ")</f>
        <v>No </v>
      </c>
      <c r="M120" s="28" t="s">
        <v>36</v>
      </c>
      <c r="O120" s="28">
        <v>169.0</v>
      </c>
      <c r="P120" s="28">
        <v>0.0</v>
      </c>
      <c r="Q120" s="28">
        <v>169.0</v>
      </c>
      <c r="R120" s="28">
        <v>169.0</v>
      </c>
      <c r="S120" s="28">
        <v>169.0</v>
      </c>
      <c r="W120" s="29">
        <f>IFERROR(__xludf.DUMMYFUNCTION("""COMPUTED_VALUE"""),9.41415318E8)</f>
        <v>941415318</v>
      </c>
      <c r="X120" s="29" t="str">
        <f>IFERROR(__xludf.DUMMYFUNCTION("""COMPUTED_VALUE"""),"No")</f>
        <v>No</v>
      </c>
      <c r="Y120" s="29" t="str">
        <f>IFERROR(__xludf.DUMMYFUNCTION("""COMPUTED_VALUE"""),"Edgard Edu Zegarra Corimaya. CEL: 989 415 687. DNI: 72605790. Agencia Shalom: Av Lima 406 Alto Selva Alegre")</f>
        <v>Edgard Edu Zegarra Corimaya. CEL: 989 415 687. DNI: 72605790. Agencia Shalom: Av Lima 406 Alto Selva Alegre</v>
      </c>
      <c r="Z120" s="29" t="str">
        <f>IFERROR(__xludf.DUMMYFUNCTION("""COMPUTED_VALUE"""),"Mi hermano ")</f>
        <v>Mi hermano </v>
      </c>
      <c r="AB120" s="30" t="str">
        <f>IFERROR(__xludf.DUMMYFUNCTION("""COMPUTED_VALUE"""),"Denisse")</f>
        <v>Denisse</v>
      </c>
      <c r="AC120" s="28" t="s">
        <v>244</v>
      </c>
      <c r="AD120" s="29" t="str">
        <f>IFERROR(__xludf.DUMMYFUNCTION("""COMPUTED_VALUE"""),"El envío es a nombre de mi hermano. Confío en la estética para el recuerdo de mi perrito ")</f>
        <v>El envío es a nombre de mi hermano. Confío en la estética para el recuerdo de mi perrito </v>
      </c>
      <c r="AE120" s="29" t="str">
        <f>IFERROR(__xludf.DUMMYFUNCTION("""COMPUTED_VALUE"""),"La mascotita ya está en el arcoiris 🌈🙏")</f>
        <v>La mascotita ya está en el arcoiris 🌈🙏</v>
      </c>
    </row>
    <row r="121" ht="15.75" customHeight="1">
      <c r="A121" s="28" t="s">
        <v>245</v>
      </c>
      <c r="B121" s="28" t="s">
        <v>33</v>
      </c>
      <c r="C121" s="29" t="str">
        <f>IFERROR(__xludf.DUMMYFUNCTION("""COMPUTED_VALUE"""),"Julia Baca Cárdenas ")</f>
        <v>Julia Baca Cárdenas </v>
      </c>
      <c r="E121" s="29" t="str">
        <f>IFERROR(__xludf.DUMMYFUNCTION("""COMPUTED_VALUE"""),"P07 Pulsera con hilo negro dije circular s/149")</f>
        <v>P07 Pulsera con hilo negro dije circular s/149</v>
      </c>
      <c r="F121" s="23">
        <v>46088.0</v>
      </c>
      <c r="G121" s="23"/>
      <c r="H121" s="23">
        <v>46097.0</v>
      </c>
      <c r="I121" s="29">
        <f>IFERROR(__xludf.DUMMYFUNCTION("""COMPUTED_VALUE"""),1.0)</f>
        <v>1</v>
      </c>
      <c r="K121" s="29" t="str">
        <f>IFERROR(__xludf.DUMMYFUNCTION("""COMPUTED_VALUE"""),"El nombre de mi perro ""Yugo"" y su foto ")</f>
        <v>El nombre de mi perro "Yugo" y su foto </v>
      </c>
      <c r="L121" s="29" t="str">
        <f>IFERROR(__xludf.DUMMYFUNCTION("""COMPUTED_VALUE"""),"No")</f>
        <v>No</v>
      </c>
      <c r="M121" s="28"/>
      <c r="O121" s="28">
        <v>149.0</v>
      </c>
      <c r="P121" s="28">
        <v>12.0</v>
      </c>
      <c r="Q121" s="28">
        <v>161.0</v>
      </c>
      <c r="R121" s="28">
        <v>90.0</v>
      </c>
      <c r="S121" s="28">
        <v>71.0</v>
      </c>
      <c r="W121" s="29">
        <f>IFERROR(__xludf.DUMMYFUNCTION("""COMPUTED_VALUE"""),9.62210754E8)</f>
        <v>962210754</v>
      </c>
      <c r="X121" s="29" t="str">
        <f>IFERROR(__xludf.DUMMYFUNCTION("""COMPUTED_VALUE"""),"Asociación villa Angelita MZ B Lt 5 pasaje José Gálvez Santa  Clara - Ate mi nombre es Julia Baca Cárdenas mi número de teléfono es 962210754")</f>
        <v>Asociación villa Angelita MZ B Lt 5 pasaje José Gálvez Santa  Clara - Ate mi nombre es Julia Baca Cárdenas mi número de teléfono es 962210754</v>
      </c>
      <c r="Y121" s="29" t="str">
        <f>IFERROR(__xludf.DUMMYFUNCTION("""COMPUTED_VALUE"""),"No")</f>
        <v>No</v>
      </c>
      <c r="Z121" s="29" t="str">
        <f>IFERROR(__xludf.DUMMYFUNCTION("""COMPUTED_VALUE"""),"Para mi")</f>
        <v>Para mi</v>
      </c>
      <c r="AB121" s="30" t="str">
        <f>IFERROR(__xludf.DUMMYFUNCTION("""COMPUTED_VALUE"""),"Denisse")</f>
        <v>Denisse</v>
      </c>
      <c r="AC121" s="28" t="s">
        <v>246</v>
      </c>
      <c r="AD121" s="29" t="str">
        <f>IFERROR(__xludf.DUMMYFUNCTION("""COMPUTED_VALUE"""),"Mi pedido cuando estará llegando? ")</f>
        <v>Mi pedido cuando estará llegando? </v>
      </c>
      <c r="AE121" s="29" t="str">
        <f>IFERROR(__xludf.DUMMYFUNCTION("""COMPUTED_VALUE"""),"No es de mascotita")</f>
        <v>No es de mascotita</v>
      </c>
    </row>
    <row r="122" ht="15.75" customHeight="1">
      <c r="A122" s="28" t="s">
        <v>247</v>
      </c>
      <c r="B122" s="28" t="s">
        <v>33</v>
      </c>
      <c r="C122" s="29" t="str">
        <f>IFERROR(__xludf.DUMMYFUNCTION("""COMPUTED_VALUE"""),"Kattia Margot Zegarra Corimaya")</f>
        <v>Kattia Margot Zegarra Corimaya</v>
      </c>
      <c r="E122" s="29" t="str">
        <f>IFERROR(__xludf.DUMMYFUNCTION("""COMPUTED_VALUE"""),"P08 Pulsera con cadena s/169, Pulsera con cadena forma de corazón, 2cm")</f>
        <v>P08 Pulsera con cadena s/169, Pulsera con cadena forma de corazón, 2cm</v>
      </c>
      <c r="F122" s="23">
        <v>46086.0</v>
      </c>
      <c r="G122" s="23"/>
      <c r="H122" s="23">
        <v>46093.0</v>
      </c>
      <c r="I122" s="29">
        <f>IFERROR(__xludf.DUMMYFUNCTION("""COMPUTED_VALUE"""),1.0)</f>
        <v>1</v>
      </c>
      <c r="K122" s="29" t="str">
        <f>IFERROR(__xludf.DUMMYFUNCTION("""COMPUTED_VALUE"""),"Si - Koby")</f>
        <v>Si - Koby</v>
      </c>
      <c r="L122" s="29" t="str">
        <f>IFERROR(__xludf.DUMMYFUNCTION("""COMPUTED_VALUE"""),"No")</f>
        <v>No</v>
      </c>
      <c r="M122" s="28" t="s">
        <v>36</v>
      </c>
      <c r="O122" s="28">
        <v>169.0</v>
      </c>
      <c r="P122" s="28">
        <v>0.0</v>
      </c>
      <c r="Q122" s="28">
        <v>169.0</v>
      </c>
      <c r="R122" s="28">
        <v>84.5</v>
      </c>
      <c r="S122" s="28">
        <v>84.5</v>
      </c>
      <c r="W122" s="29">
        <f>IFERROR(__xludf.DUMMYFUNCTION("""COMPUTED_VALUE"""),9.41415318E8)</f>
        <v>941415318</v>
      </c>
      <c r="X122" s="29" t="str">
        <f>IFERROR(__xludf.DUMMYFUNCTION("""COMPUTED_VALUE"""),"xxx")</f>
        <v>xxx</v>
      </c>
      <c r="Y122" s="29" t="str">
        <f>IFERROR(__xludf.DUMMYFUNCTION("""COMPUTED_VALUE"""),"xxx")</f>
        <v>xxx</v>
      </c>
      <c r="Z122" s="29" t="str">
        <f>IFERROR(__xludf.DUMMYFUNCTION("""COMPUTED_VALUE"""),"Para mi")</f>
        <v>Para mi</v>
      </c>
      <c r="AB122" s="30" t="str">
        <f>IFERROR(__xludf.DUMMYFUNCTION("""COMPUTED_VALUE"""),"Denisse")</f>
        <v>Denisse</v>
      </c>
      <c r="AC122" s="28" t="s">
        <v>248</v>
      </c>
      <c r="AD122" s="29" t="str">
        <f>IFERROR(__xludf.DUMMYFUNCTION("""COMPUTED_VALUE"""),"El envío es a nombre de mi hermano. Confío en la estética para el recuerdo de mi perrito")</f>
        <v>El envío es a nombre de mi hermano. Confío en la estética para el recuerdo de mi perrito</v>
      </c>
      <c r="AE122" s="29" t="str">
        <f>IFERROR(__xludf.DUMMYFUNCTION("""COMPUTED_VALUE"""),"No es de mascotita")</f>
        <v>No es de mascotita</v>
      </c>
    </row>
    <row r="123" ht="15.75" customHeight="1">
      <c r="A123" s="28" t="s">
        <v>249</v>
      </c>
      <c r="B123" s="28" t="s">
        <v>33</v>
      </c>
      <c r="C123" s="29" t="str">
        <f>IFERROR(__xludf.DUMMYFUNCTION("""COMPUTED_VALUE"""),"Rosabel")</f>
        <v>Rosabel</v>
      </c>
      <c r="E123" s="29" t="str">
        <f>IFERROR(__xludf.DUMMYFUNCTION("""COMPUTED_VALUE"""),"dijes 2cm acero plateado")</f>
        <v>dijes 2cm acero plateado</v>
      </c>
      <c r="F123" s="23">
        <v>46090.0</v>
      </c>
      <c r="G123" s="23"/>
      <c r="H123" s="23">
        <v>46097.0</v>
      </c>
      <c r="I123" s="29">
        <f>IFERROR(__xludf.DUMMYFUNCTION("""COMPUTED_VALUE"""),3.0)</f>
        <v>3</v>
      </c>
      <c r="K123" s="29" t="str">
        <f>IFERROR(__xludf.DUMMYFUNCTION("""COMPUTED_VALUE"""),"no")</f>
        <v>no</v>
      </c>
      <c r="L123" s="29" t="str">
        <f>IFERROR(__xludf.DUMMYFUNCTION("""COMPUTED_VALUE"""),"no")</f>
        <v>no</v>
      </c>
      <c r="M123" s="28"/>
      <c r="O123" s="28">
        <v>1.0</v>
      </c>
      <c r="P123" s="28">
        <v>0.0</v>
      </c>
      <c r="Q123" s="28">
        <v>1.0</v>
      </c>
      <c r="R123" s="28">
        <v>0.0</v>
      </c>
      <c r="S123" s="28">
        <v>1.0</v>
      </c>
      <c r="W123" s="29">
        <f>IFERROR(__xludf.DUMMYFUNCTION("""COMPUTED_VALUE"""),9.9999999E7)</f>
        <v>99999999</v>
      </c>
      <c r="X123" s="29" t="str">
        <f>IFERROR(__xludf.DUMMYFUNCTION("""COMPUTED_VALUE"""),"xx")</f>
        <v>xx</v>
      </c>
      <c r="Y123" s="29" t="str">
        <f>IFERROR(__xludf.DUMMYFUNCTION("""COMPUTED_VALUE"""),"xx")</f>
        <v>xx</v>
      </c>
      <c r="Z123" s="29" t="str">
        <f>IFERROR(__xludf.DUMMYFUNCTION("""COMPUTED_VALUE"""),"Para mi")</f>
        <v>Para mi</v>
      </c>
      <c r="AB123" s="30" t="str">
        <f>IFERROR(__xludf.DUMMYFUNCTION("""COMPUTED_VALUE"""),"Sandra")</f>
        <v>Sandra</v>
      </c>
      <c r="AC123" s="28"/>
      <c r="AD123" s="29" t="str">
        <f>IFERROR(__xludf.DUMMYFUNCTION("""COMPUTED_VALUE"""),"xx")</f>
        <v>xx</v>
      </c>
      <c r="AE123" s="29" t="str">
        <f>IFERROR(__xludf.DUMMYFUNCTION("""COMPUTED_VALUE"""),"La mascotita ya está en el arcoiris 🌈🙏")</f>
        <v>La mascotita ya está en el arcoiris 🌈🙏</v>
      </c>
    </row>
    <row r="124" ht="15.75" customHeight="1">
      <c r="A124" s="28" t="s">
        <v>250</v>
      </c>
      <c r="B124" s="28" t="s">
        <v>33</v>
      </c>
      <c r="C124" s="29" t="str">
        <f>IFERROR(__xludf.DUMMYFUNCTION("""COMPUTED_VALUE"""),"Rosabel")</f>
        <v>Rosabel</v>
      </c>
      <c r="E124" s="29" t="str">
        <f>IFERROR(__xludf.DUMMYFUNCTION("""COMPUTED_VALUE"""),"dijes dorados 06 ")</f>
        <v>dijes dorados 06 </v>
      </c>
      <c r="F124" s="23">
        <v>46090.0</v>
      </c>
      <c r="G124" s="23"/>
      <c r="H124" s="23">
        <v>46097.0</v>
      </c>
      <c r="I124" s="29">
        <f>IFERROR(__xludf.DUMMYFUNCTION("""COMPUTED_VALUE"""),6.0)</f>
        <v>6</v>
      </c>
      <c r="K124" s="29" t="str">
        <f>IFERROR(__xludf.DUMMYFUNCTION("""COMPUTED_VALUE"""),"no")</f>
        <v>no</v>
      </c>
      <c r="L124" s="29" t="str">
        <f>IFERROR(__xludf.DUMMYFUNCTION("""COMPUTED_VALUE"""),"no")</f>
        <v>no</v>
      </c>
      <c r="M124" s="28"/>
      <c r="O124" s="28">
        <v>1.0</v>
      </c>
      <c r="P124" s="28">
        <v>0.0</v>
      </c>
      <c r="Q124" s="28">
        <v>1.0</v>
      </c>
      <c r="R124" s="28">
        <v>0.0</v>
      </c>
      <c r="S124" s="28">
        <v>1.0</v>
      </c>
      <c r="W124" s="29">
        <f>IFERROR(__xludf.DUMMYFUNCTION("""COMPUTED_VALUE"""),999999.0)</f>
        <v>999999</v>
      </c>
      <c r="X124" s="29" t="str">
        <f>IFERROR(__xludf.DUMMYFUNCTION("""COMPUTED_VALUE"""),"xx")</f>
        <v>xx</v>
      </c>
      <c r="Y124" s="29" t="str">
        <f>IFERROR(__xludf.DUMMYFUNCTION("""COMPUTED_VALUE"""),"xx")</f>
        <v>xx</v>
      </c>
      <c r="Z124" s="29" t="str">
        <f>IFERROR(__xludf.DUMMYFUNCTION("""COMPUTED_VALUE"""),"Para mi")</f>
        <v>Para mi</v>
      </c>
      <c r="AB124" s="30" t="str">
        <f>IFERROR(__xludf.DUMMYFUNCTION("""COMPUTED_VALUE"""),"Sandra")</f>
        <v>Sandra</v>
      </c>
      <c r="AC124" s="28"/>
      <c r="AD124" s="29" t="str">
        <f>IFERROR(__xludf.DUMMYFUNCTION("""COMPUTED_VALUE"""),"xx")</f>
        <v>xx</v>
      </c>
      <c r="AE124" s="29" t="str">
        <f>IFERROR(__xludf.DUMMYFUNCTION("""COMPUTED_VALUE"""),"La mascotita está contigo  🐾🎉")</f>
        <v>La mascotita está contigo  🐾🎉</v>
      </c>
    </row>
    <row r="125" ht="15.75" customHeight="1">
      <c r="A125" s="28" t="s">
        <v>251</v>
      </c>
      <c r="B125" s="28" t="s">
        <v>33</v>
      </c>
      <c r="C125" s="29" t="str">
        <f>IFERROR(__xludf.DUMMYFUNCTION("""COMPUTED_VALUE"""),"Andrea Frias Lluen")</f>
        <v>Andrea Frias Lluen</v>
      </c>
      <c r="E125" s="29" t="str">
        <f>IFERROR(__xludf.DUMMYFUNCTION("""COMPUTED_VALUE"""),"Collar de Acero Plateado-dije circular con rostro de mascotita, cadena para dama.")</f>
        <v>Collar de Acero Plateado-dije circular con rostro de mascotita, cadena para dama.</v>
      </c>
      <c r="F125" s="23">
        <v>46092.0</v>
      </c>
      <c r="G125" s="23"/>
      <c r="H125" s="23">
        <v>46099.0</v>
      </c>
      <c r="I125" s="29">
        <f>IFERROR(__xludf.DUMMYFUNCTION("""COMPUTED_VALUE"""),1.0)</f>
        <v>1</v>
      </c>
      <c r="K125" s="29" t="str">
        <f>IFERROR(__xludf.DUMMYFUNCTION("""COMPUTED_VALUE"""),"Sí")</f>
        <v>Sí</v>
      </c>
      <c r="L125" s="29" t="str">
        <f>IFERROR(__xludf.DUMMYFUNCTION("""COMPUTED_VALUE"""),"No")</f>
        <v>No</v>
      </c>
      <c r="M125" s="28"/>
      <c r="O125" s="28">
        <v>89.0</v>
      </c>
      <c r="P125" s="28">
        <v>0.0</v>
      </c>
      <c r="Q125" s="28">
        <v>89.0</v>
      </c>
      <c r="R125" s="28">
        <v>44.5</v>
      </c>
      <c r="S125" s="28">
        <v>44.5</v>
      </c>
      <c r="W125" s="29">
        <f>IFERROR(__xludf.DUMMYFUNCTION("""COMPUTED_VALUE"""),9.99594084E8)</f>
        <v>999594084</v>
      </c>
      <c r="X125" s="29" t="str">
        <f>IFERROR(__xludf.DUMMYFUNCTION("""COMPUTED_VALUE"""),"-")</f>
        <v>-</v>
      </c>
      <c r="Y125" s="29" t="str">
        <f>IFERROR(__xludf.DUMMYFUNCTION("""COMPUTED_VALUE"""),"-")</f>
        <v>-</v>
      </c>
      <c r="Z125" s="29" t="str">
        <f>IFERROR(__xludf.DUMMYFUNCTION("""COMPUTED_VALUE"""),"Para mi")</f>
        <v>Para mi</v>
      </c>
      <c r="AB125" s="30" t="str">
        <f>IFERROR(__xludf.DUMMYFUNCTION("""COMPUTED_VALUE"""),"Denisse")</f>
        <v>Denisse</v>
      </c>
      <c r="AC125" s="28" t="s">
        <v>252</v>
      </c>
      <c r="AD125" s="29" t="str">
        <f>IFERROR(__xludf.DUMMYFUNCTION("""COMPUTED_VALUE"""),"Por favor que esté bien seguro el dije en la cadena para que no se caiga. Gracias.")</f>
        <v>Por favor que esté bien seguro el dije en la cadena para que no se caiga. Gracias.</v>
      </c>
      <c r="AE125" s="29" t="str">
        <f>IFERROR(__xludf.DUMMYFUNCTION("""COMPUTED_VALUE"""),"La mascotita está contigo  🐾🎉, La mascotita ya está en el arcoiris 🌈🙏")</f>
        <v>La mascotita está contigo  🐾🎉, La mascotita ya está en el arcoiris 🌈🙏</v>
      </c>
    </row>
    <row r="126" ht="15.75" customHeight="1">
      <c r="A126" s="28" t="s">
        <v>253</v>
      </c>
      <c r="B126" s="28" t="s">
        <v>33</v>
      </c>
      <c r="C126" s="29" t="str">
        <f>IFERROR(__xludf.DUMMYFUNCTION("""COMPUTED_VALUE"""),"Lalo")</f>
        <v>Lalo</v>
      </c>
      <c r="E126" s="29" t="str">
        <f>IFERROR(__xludf.DUMMYFUNCTION("""COMPUTED_VALUE"""),"X")</f>
        <v>X</v>
      </c>
      <c r="F126" s="23">
        <v>46090.0</v>
      </c>
      <c r="G126" s="23"/>
      <c r="H126" s="23">
        <v>46093.0</v>
      </c>
      <c r="I126" s="29">
        <f>IFERROR(__xludf.DUMMYFUNCTION("""COMPUTED_VALUE"""),1.0)</f>
        <v>1</v>
      </c>
      <c r="K126" s="29" t="str">
        <f>IFERROR(__xludf.DUMMYFUNCTION("""COMPUTED_VALUE"""),"X")</f>
        <v>X</v>
      </c>
      <c r="L126" s="29" t="str">
        <f>IFERROR(__xludf.DUMMYFUNCTION("""COMPUTED_VALUE"""),"X")</f>
        <v>X</v>
      </c>
      <c r="M126" s="28"/>
      <c r="O126" s="28">
        <v>1.0</v>
      </c>
      <c r="P126" s="28">
        <v>1.0</v>
      </c>
      <c r="Q126" s="28">
        <v>2.0</v>
      </c>
      <c r="R126" s="28">
        <v>0.0</v>
      </c>
      <c r="S126" s="28">
        <v>2.0</v>
      </c>
      <c r="W126" s="29">
        <f>IFERROR(__xludf.DUMMYFUNCTION("""COMPUTED_VALUE"""),9.62320349E8)</f>
        <v>962320349</v>
      </c>
      <c r="X126" s="29" t="str">
        <f>IFERROR(__xludf.DUMMYFUNCTION("""COMPUTED_VALUE"""),"X")</f>
        <v>X</v>
      </c>
      <c r="Y126" s="29" t="str">
        <f>IFERROR(__xludf.DUMMYFUNCTION("""COMPUTED_VALUE"""),"X")</f>
        <v>X</v>
      </c>
      <c r="Z126" s="29" t="str">
        <f>IFERROR(__xludf.DUMMYFUNCTION("""COMPUTED_VALUE"""),"Para mi")</f>
        <v>Para mi</v>
      </c>
      <c r="AB126" s="30" t="str">
        <f>IFERROR(__xludf.DUMMYFUNCTION("""COMPUTED_VALUE"""),"Sandra")</f>
        <v>Sandra</v>
      </c>
      <c r="AC126" s="28"/>
      <c r="AD126" s="29" t="str">
        <f>IFERROR(__xludf.DUMMYFUNCTION("""COMPUTED_VALUE"""),"C")</f>
        <v>C</v>
      </c>
      <c r="AE126" s="29" t="str">
        <f>IFERROR(__xludf.DUMMYFUNCTION("""COMPUTED_VALUE"""),"La mascotita ya está en el arcoiris 🌈🙏")</f>
        <v>La mascotita ya está en el arcoiris 🌈🙏</v>
      </c>
    </row>
    <row r="127" ht="15.75" customHeight="1">
      <c r="A127" s="28" t="s">
        <v>254</v>
      </c>
      <c r="B127" s="28" t="s">
        <v>33</v>
      </c>
      <c r="C127" s="29" t="str">
        <f>IFERROR(__xludf.DUMMYFUNCTION("""COMPUTED_VALUE"""),"Jennifer  Chicoski")</f>
        <v>Jennifer  Chicoski</v>
      </c>
      <c r="E127" s="29" t="str">
        <f>IFERROR(__xludf.DUMMYFUNCTION("""COMPUTED_VALUE"""),"01 pulsera con 3 peludos s/209 ")</f>
        <v>01 pulsera con 3 peludos s/209 </v>
      </c>
      <c r="F127" s="23">
        <v>46092.0</v>
      </c>
      <c r="G127" s="23"/>
      <c r="H127" s="23">
        <v>46100.0</v>
      </c>
      <c r="I127" s="29">
        <f>IFERROR(__xludf.DUMMYFUNCTION("""COMPUTED_VALUE"""),2.0)</f>
        <v>2</v>
      </c>
      <c r="K127" s="29" t="str">
        <f>IFERROR(__xludf.DUMMYFUNCTION("""COMPUTED_VALUE"""),"SÍ, las fotos")</f>
        <v>SÍ, las fotos</v>
      </c>
      <c r="L127" s="29" t="str">
        <f>IFERROR(__xludf.DUMMYFUNCTION("""COMPUTED_VALUE"""),"No")</f>
        <v>No</v>
      </c>
      <c r="M127" s="28"/>
      <c r="O127" s="28">
        <v>209.0</v>
      </c>
      <c r="P127" s="28">
        <v>12.0</v>
      </c>
      <c r="Q127" s="28">
        <v>221.0</v>
      </c>
      <c r="R127" s="28">
        <v>104.5</v>
      </c>
      <c r="S127" s="28">
        <v>116.5</v>
      </c>
      <c r="W127" s="29">
        <f>IFERROR(__xludf.DUMMYFUNCTION("""COMPUTED_VALUE"""),9.74210816E8)</f>
        <v>974210816</v>
      </c>
      <c r="X127" s="29" t="str">
        <f>IFERROR(__xludf.DUMMYFUNCTION("""COMPUTED_VALUE"""),"Calle José De la Torre Ugarte 107, Depo 301 Miraflores. John y Jennifer Chicoski ")</f>
        <v>Calle José De la Torre Ugarte 107, Depo 301 Miraflores. John y Jennifer Chicoski </v>
      </c>
      <c r="Y127" s="29" t="str">
        <f>IFERROR(__xludf.DUMMYFUNCTION("""COMPUTED_VALUE"""),"No")</f>
        <v>No</v>
      </c>
      <c r="Z127" s="29" t="str">
        <f>IFERROR(__xludf.DUMMYFUNCTION("""COMPUTED_VALUE"""),"Para mi, Una ")</f>
        <v>Para mi, Una </v>
      </c>
      <c r="AB127" s="30" t="str">
        <f>IFERROR(__xludf.DUMMYFUNCTION("""COMPUTED_VALUE"""),"Linda")</f>
        <v>Linda</v>
      </c>
      <c r="AC127" s="28" t="s">
        <v>255</v>
      </c>
      <c r="AD127" s="29" t="str">
        <f>IFERROR(__xludf.DUMMYFUNCTION("""COMPUTED_VALUE"""),"Las tres fotos de perritos ya envié de WhatsApp a Linda")</f>
        <v>Las tres fotos de perritos ya envié de WhatsApp a Linda</v>
      </c>
      <c r="AE127" s="29" t="str">
        <f>IFERROR(__xludf.DUMMYFUNCTION("""COMPUTED_VALUE"""),"No es de mascotita")</f>
        <v>No es de mascotita</v>
      </c>
    </row>
    <row r="128" ht="48.75" customHeight="1">
      <c r="A128" s="28" t="s">
        <v>256</v>
      </c>
      <c r="B128" s="28" t="s">
        <v>33</v>
      </c>
      <c r="C128" s="29" t="str">
        <f>IFERROR(__xludf.DUMMYFUNCTION("""COMPUTED_VALUE"""),"Erika Gamarra serna")</f>
        <v>Erika Gamarra serna</v>
      </c>
      <c r="E128" s="29" t="str">
        <f>IFERROR(__xludf.DUMMYFUNCTION("""COMPUTED_VALUE"""),"P07 Pulsera con hilo negro dije circular s/149")</f>
        <v>P07 Pulsera con hilo negro dije circular s/149</v>
      </c>
      <c r="F128" s="23">
        <v>46093.0</v>
      </c>
      <c r="G128" s="23"/>
      <c r="H128" s="23">
        <v>46100.0</v>
      </c>
      <c r="I128" s="29">
        <f>IFERROR(__xludf.DUMMYFUNCTION("""COMPUTED_VALUE"""),2.0)</f>
        <v>2</v>
      </c>
      <c r="K128" s="29" t="str">
        <f>IFERROR(__xludf.DUMMYFUNCTION("""COMPUTED_VALUE"""),"Foto del perrito")</f>
        <v>Foto del perrito</v>
      </c>
      <c r="L128" s="29" t="str">
        <f>IFERROR(__xludf.DUMMYFUNCTION("""COMPUTED_VALUE"""),"No")</f>
        <v>No</v>
      </c>
      <c r="M128" s="28"/>
      <c r="O128" s="28">
        <v>149.0</v>
      </c>
      <c r="P128" s="28">
        <v>12.0</v>
      </c>
      <c r="Q128" s="28">
        <v>161.0</v>
      </c>
      <c r="R128" s="28">
        <v>84.0</v>
      </c>
      <c r="S128" s="28">
        <v>77.0</v>
      </c>
      <c r="W128" s="29">
        <f>IFERROR(__xludf.DUMMYFUNCTION("""COMPUTED_VALUE"""),9.94351278E8)</f>
        <v>994351278</v>
      </c>
      <c r="X128" s="29" t="str">
        <f>IFERROR(__xludf.DUMMYFUNCTION("""COMPUTED_VALUE"""),"No")</f>
        <v>No</v>
      </c>
      <c r="Y128" s="29" t="str">
        <f>IFERROR(__xludf.DUMMYFUNCTION("""COMPUTED_VALUE"""),"Erika Gamarra Serna /994351278/ 72560263/ agencia Shalom huacho ubicado en Av Mercedes Indacochea ")</f>
        <v>Erika Gamarra Serna /994351278/ 72560263/ agencia Shalom huacho ubicado en Av Mercedes Indacochea </v>
      </c>
      <c r="Z128" s="29" t="str">
        <f>IFERROR(__xludf.DUMMYFUNCTION("""COMPUTED_VALUE"""),"Familia ")</f>
        <v>Familia </v>
      </c>
      <c r="AB128" s="30" t="str">
        <f>IFERROR(__xludf.DUMMYFUNCTION("""COMPUTED_VALUE"""),"Denisse")</f>
        <v>Denisse</v>
      </c>
      <c r="AC128" s="28" t="s">
        <v>257</v>
      </c>
      <c r="AD128" s="29" t="str">
        <f>IFERROR(__xludf.DUMMYFUNCTION("""COMPUTED_VALUE"""),"Ambas pulseras en color negro la de la imagen es para hombre ")</f>
        <v>Ambas pulseras en color negro la de la imagen es para hombre </v>
      </c>
      <c r="AE128" s="29" t="str">
        <f>IFERROR(__xludf.DUMMYFUNCTION("""COMPUTED_VALUE"""),"La mascotita está contigo  🐾🎉")</f>
        <v>La mascotita está contigo  🐾🎉</v>
      </c>
    </row>
    <row r="129" ht="15.75" customHeight="1">
      <c r="A129" s="28" t="s">
        <v>258</v>
      </c>
      <c r="B129" s="28" t="s">
        <v>33</v>
      </c>
      <c r="C129" s="29" t="str">
        <f>IFERROR(__xludf.DUMMYFUNCTION("""COMPUTED_VALUE"""),"Erika Gamarra serna")</f>
        <v>Erika Gamarra serna</v>
      </c>
      <c r="E129" s="29" t="str">
        <f>IFERROR(__xludf.DUMMYFUNCTION("""COMPUTED_VALUE"""),"Pulsera DOGMOM color negro")</f>
        <v>Pulsera DOGMOM color negro</v>
      </c>
      <c r="F129" s="23">
        <v>46093.0</v>
      </c>
      <c r="G129" s="23"/>
      <c r="H129" s="23">
        <v>46100.0</v>
      </c>
      <c r="I129" s="29">
        <f>IFERROR(__xludf.DUMMYFUNCTION("""COMPUTED_VALUE"""),1.0)</f>
        <v>1</v>
      </c>
      <c r="K129" s="29" t="str">
        <f>IFERROR(__xludf.DUMMYFUNCTION("""COMPUTED_VALUE"""),"No")</f>
        <v>No</v>
      </c>
      <c r="L129" s="29" t="str">
        <f>IFERROR(__xludf.DUMMYFUNCTION("""COMPUTED_VALUE"""),"No")</f>
        <v>No</v>
      </c>
      <c r="M129" s="28"/>
      <c r="O129" s="28">
        <v>19.0</v>
      </c>
      <c r="P129" s="28">
        <v>0.0</v>
      </c>
      <c r="Q129" s="28">
        <v>19.0</v>
      </c>
      <c r="R129" s="28">
        <v>0.0</v>
      </c>
      <c r="S129" s="28">
        <v>19.0</v>
      </c>
      <c r="W129" s="29">
        <f>IFERROR(__xludf.DUMMYFUNCTION("""COMPUTED_VALUE"""),9.94351278E8)</f>
        <v>994351278</v>
      </c>
      <c r="X129" s="29" t="str">
        <f>IFERROR(__xludf.DUMMYFUNCTION("""COMPUTED_VALUE"""),"xx")</f>
        <v>xx</v>
      </c>
      <c r="Y129" s="29" t="str">
        <f>IFERROR(__xludf.DUMMYFUNCTION("""COMPUTED_VALUE"""),"HUACHO")</f>
        <v>HUACHO</v>
      </c>
      <c r="Z129" s="29" t="str">
        <f>IFERROR(__xludf.DUMMYFUNCTION("""COMPUTED_VALUE"""),"Para mi")</f>
        <v>Para mi</v>
      </c>
      <c r="AB129" s="30" t="str">
        <f>IFERROR(__xludf.DUMMYFUNCTION("""COMPUTED_VALUE"""),"Denisse")</f>
        <v>Denisse</v>
      </c>
      <c r="AC129" s="28" t="s">
        <v>259</v>
      </c>
      <c r="AD129" s="29" t="str">
        <f>IFERROR(__xludf.DUMMYFUNCTION("""COMPUTED_VALUE"""),"Ambas pulseras en color negro la de la imagen es para hombre")</f>
        <v>Ambas pulseras en color negro la de la imagen es para hombre</v>
      </c>
      <c r="AE129" s="29" t="str">
        <f>IFERROR(__xludf.DUMMYFUNCTION("""COMPUTED_VALUE"""),"La mascotita está contigo  🐾🎉")</f>
        <v>La mascotita está contigo  🐾🎉</v>
      </c>
    </row>
    <row r="130" ht="15.75" customHeight="1">
      <c r="A130" s="28" t="s">
        <v>260</v>
      </c>
      <c r="B130" s="28" t="s">
        <v>33</v>
      </c>
      <c r="C130" s="29" t="str">
        <f>IFERROR(__xludf.DUMMYFUNCTION("""COMPUTED_VALUE"""),"Carlos Cesar Santiago sapaico ")</f>
        <v>Carlos Cesar Santiago sapaico </v>
      </c>
      <c r="E130" s="29" t="str">
        <f>IFERROR(__xludf.DUMMYFUNCTION("""COMPUTED_VALUE"""),"CL02 Collar dije circular 2cm s/169")</f>
        <v>CL02 Collar dije circular 2cm s/169</v>
      </c>
      <c r="F130" s="23">
        <v>46093.0</v>
      </c>
      <c r="G130" s="23"/>
      <c r="H130" s="23">
        <v>46100.0</v>
      </c>
      <c r="I130" s="29">
        <f>IFERROR(__xludf.DUMMYFUNCTION("""COMPUTED_VALUE"""),1.0)</f>
        <v>1</v>
      </c>
      <c r="K130" s="29" t="str">
        <f>IFERROR(__xludf.DUMMYFUNCTION("""COMPUTED_VALUE"""),"La foto que envie de la mascota")</f>
        <v>La foto que envie de la mascota</v>
      </c>
      <c r="L130" s="29" t="str">
        <f>IFERROR(__xludf.DUMMYFUNCTION("""COMPUTED_VALUE"""),"Solo quiero una fecha (17.05.2025) y debajo su nombre de la mascota (Mango) si se pudiera dibujar una frutita en forma de mango estaría genial")</f>
        <v>Solo quiero una fecha (17.05.2025) y debajo su nombre de la mascota (Mango) si se pudiera dibujar una frutita en forma de mango estaría genial</v>
      </c>
      <c r="M130" s="28"/>
      <c r="O130" s="28">
        <v>169.0</v>
      </c>
      <c r="P130" s="28">
        <v>12.0</v>
      </c>
      <c r="Q130" s="28">
        <v>181.0</v>
      </c>
      <c r="R130" s="28">
        <v>92.0</v>
      </c>
      <c r="S130" s="28">
        <v>89.0</v>
      </c>
      <c r="W130" s="29">
        <f>IFERROR(__xludf.DUMMYFUNCTION("""COMPUTED_VALUE"""),9.61585845E8)</f>
        <v>961585845</v>
      </c>
      <c r="X130" s="29" t="str">
        <f>IFERROR(__xludf.DUMMYFUNCTION("""COMPUTED_VALUE"""),".")</f>
        <v>.</v>
      </c>
      <c r="Y130" s="29" t="str">
        <f>IFERROR(__xludf.DUMMYFUNCTION("""COMPUTED_VALUE"""),"Vanesa espinosa oliva Cell: 983 279 049 DNI: 47068834 Agencia shalom: yurimahuas")</f>
        <v>Vanesa espinosa oliva Cell: 983 279 049 DNI: 47068834 Agencia shalom: yurimahuas</v>
      </c>
      <c r="Z130" s="29" t="str">
        <f>IFERROR(__xludf.DUMMYFUNCTION("""COMPUTED_VALUE"""),"Enamorada")</f>
        <v>Enamorada</v>
      </c>
      <c r="AB130" s="30" t="str">
        <f>IFERROR(__xludf.DUMMYFUNCTION("""COMPUTED_VALUE"""),"Linda")</f>
        <v>Linda</v>
      </c>
      <c r="AC130" s="28" t="s">
        <v>261</v>
      </c>
      <c r="AD130" s="29" t="str">
        <f>IFERROR(__xludf.DUMMYFUNCTION("""COMPUTED_VALUE"""),"Avisarme como queda el pedido antes del envio")</f>
        <v>Avisarme como queda el pedido antes del envio</v>
      </c>
      <c r="AE130" s="29" t="str">
        <f>IFERROR(__xludf.DUMMYFUNCTION("""COMPUTED_VALUE"""),"La mascotita ya está en el arcoiris 🌈🙏")</f>
        <v>La mascotita ya está en el arcoiris 🌈🙏</v>
      </c>
    </row>
    <row r="131" ht="15.75" customHeight="1">
      <c r="A131" s="28" t="s">
        <v>262</v>
      </c>
      <c r="B131" s="28" t="s">
        <v>263</v>
      </c>
      <c r="C131" s="29" t="str">
        <f>IFERROR(__xludf.DUMMYFUNCTION("""COMPUTED_VALUE"""),"Jennifer Chicoski")</f>
        <v>Jennifer Chicoski</v>
      </c>
      <c r="E131" s="29" t="str">
        <f>IFERROR(__xludf.DUMMYFUNCTION("""COMPUTED_VALUE"""),"01 pulsera con 5 peludos s/249")</f>
        <v>01 pulsera con 5 peludos s/249</v>
      </c>
      <c r="F131" s="23">
        <v>46093.0</v>
      </c>
      <c r="G131" s="23"/>
      <c r="H131" s="23">
        <v>46100.0</v>
      </c>
      <c r="I131" s="29">
        <f>IFERROR(__xludf.DUMMYFUNCTION("""COMPUTED_VALUE"""),1.0)</f>
        <v>1</v>
      </c>
      <c r="K131" s="29" t="str">
        <f>IFERROR(__xludf.DUMMYFUNCTION("""COMPUTED_VALUE"""),"No")</f>
        <v>No</v>
      </c>
      <c r="L131" s="29" t="str">
        <f>IFERROR(__xludf.DUMMYFUNCTION("""COMPUTED_VALUE"""),"No")</f>
        <v>No</v>
      </c>
      <c r="M131" s="28"/>
      <c r="O131" s="28">
        <v>249.0</v>
      </c>
      <c r="P131" s="28">
        <v>0.0</v>
      </c>
      <c r="Q131" s="28">
        <v>249.0</v>
      </c>
      <c r="R131" s="28">
        <v>124.5</v>
      </c>
      <c r="S131" s="28">
        <v>124.5</v>
      </c>
      <c r="W131" s="29">
        <f>IFERROR(__xludf.DUMMYFUNCTION("""COMPUTED_VALUE"""),9.74210816E8)</f>
        <v>974210816</v>
      </c>
      <c r="X131" s="29" t="str">
        <f>IFERROR(__xludf.DUMMYFUNCTION("""COMPUTED_VALUE"""),"Calle José De la Torre Ugarte 107, Depo 301, Miraflores")</f>
        <v>Calle José De la Torre Ugarte 107, Depo 301, Miraflores</v>
      </c>
      <c r="Y131" s="29" t="str">
        <f>IFERROR(__xludf.DUMMYFUNCTION("""COMPUTED_VALUE"""),"No")</f>
        <v>No</v>
      </c>
      <c r="Z131" s="29" t="str">
        <f>IFERROR(__xludf.DUMMYFUNCTION("""COMPUTED_VALUE"""),"Para mi")</f>
        <v>Para mi</v>
      </c>
      <c r="AB131" s="30" t="str">
        <f>IFERROR(__xludf.DUMMYFUNCTION("""COMPUTED_VALUE"""),"Linda")</f>
        <v>Linda</v>
      </c>
      <c r="AC131" s="28" t="s">
        <v>264</v>
      </c>
      <c r="AD131" s="29" t="str">
        <f>IFERROR(__xludf.DUMMYFUNCTION("""COMPUTED_VALUE"""),"Ninguna")</f>
        <v>Ninguna</v>
      </c>
      <c r="AE131" s="29" t="str">
        <f>IFERROR(__xludf.DUMMYFUNCTION("""COMPUTED_VALUE"""),"La mascotita ya está en el arcoiris 🌈🙏")</f>
        <v>La mascotita ya está en el arcoiris 🌈🙏</v>
      </c>
    </row>
    <row r="132" ht="15.75" customHeight="1">
      <c r="A132" s="28" t="s">
        <v>265</v>
      </c>
      <c r="B132" s="28" t="s">
        <v>33</v>
      </c>
      <c r="C132" s="29" t="str">
        <f>IFERROR(__xludf.DUMMYFUNCTION("""COMPUTED_VALUE"""),"Cliente")</f>
        <v>Cliente</v>
      </c>
      <c r="E132" s="29" t="str">
        <f>IFERROR(__xludf.DUMMYFUNCTION("""COMPUTED_VALUE"""),"limpieza dije")</f>
        <v>limpieza dije</v>
      </c>
      <c r="F132" s="23">
        <v>46090.0</v>
      </c>
      <c r="G132" s="23"/>
      <c r="H132" s="23">
        <v>46097.0</v>
      </c>
      <c r="I132" s="29">
        <f>IFERROR(__xludf.DUMMYFUNCTION("""COMPUTED_VALUE"""),1.0)</f>
        <v>1</v>
      </c>
      <c r="K132" s="29" t="str">
        <f>IFERROR(__xludf.DUMMYFUNCTION("""COMPUTED_VALUE"""),"x")</f>
        <v>x</v>
      </c>
      <c r="L132" s="29" t="str">
        <f>IFERROR(__xludf.DUMMYFUNCTION("""COMPUTED_VALUE"""),"x")</f>
        <v>x</v>
      </c>
      <c r="M132" s="28"/>
      <c r="O132" s="28">
        <v>15.0</v>
      </c>
      <c r="P132" s="28">
        <v>0.0</v>
      </c>
      <c r="Q132" s="28">
        <v>15.0</v>
      </c>
      <c r="R132" s="28">
        <v>0.0</v>
      </c>
      <c r="S132" s="28">
        <v>15.0</v>
      </c>
      <c r="W132" s="29" t="str">
        <f>IFERROR(__xludf.DUMMYFUNCTION("""COMPUTED_VALUE"""),"x")</f>
        <v>x</v>
      </c>
      <c r="X132" s="29" t="str">
        <f>IFERROR(__xludf.DUMMYFUNCTION("""COMPUTED_VALUE"""),"x")</f>
        <v>x</v>
      </c>
      <c r="Y132" s="29" t="str">
        <f>IFERROR(__xludf.DUMMYFUNCTION("""COMPUTED_VALUE"""),"x")</f>
        <v>x</v>
      </c>
      <c r="Z132" s="29" t="str">
        <f>IFERROR(__xludf.DUMMYFUNCTION("""COMPUTED_VALUE"""),"Para mi")</f>
        <v>Para mi</v>
      </c>
      <c r="AB132" s="30" t="str">
        <f>IFERROR(__xludf.DUMMYFUNCTION("""COMPUTED_VALUE"""),"Sandra")</f>
        <v>Sandra</v>
      </c>
      <c r="AC132" s="28"/>
      <c r="AD132" s="29" t="str">
        <f>IFERROR(__xludf.DUMMYFUNCTION("""COMPUTED_VALUE"""),"x")</f>
        <v>x</v>
      </c>
      <c r="AE132" s="29" t="str">
        <f>IFERROR(__xludf.DUMMYFUNCTION("""COMPUTED_VALUE"""),"La mascotita está contigo  🐾🎉")</f>
        <v>La mascotita está contigo  🐾🎉</v>
      </c>
    </row>
    <row r="133" ht="15.75" customHeight="1">
      <c r="A133" s="28" t="s">
        <v>266</v>
      </c>
      <c r="B133" s="28" t="s">
        <v>33</v>
      </c>
      <c r="C133" s="29" t="str">
        <f>IFERROR(__xludf.DUMMYFUNCTION("""COMPUTED_VALUE"""),"Rosa Amelia Kameko Soria")</f>
        <v>Rosa Amelia Kameko Soria</v>
      </c>
      <c r="E133" s="29" t="str">
        <f>IFERROR(__xludf.DUMMYFUNCTION("""COMPUTED_VALUE"""),"CL01 Collar dije circular 1.5cm s/149")</f>
        <v>CL01 Collar dije circular 1.5cm s/149</v>
      </c>
      <c r="F133" s="23">
        <v>46098.0</v>
      </c>
      <c r="G133" s="23"/>
      <c r="H133" s="23">
        <v>46105.0</v>
      </c>
      <c r="I133" s="29">
        <f>IFERROR(__xludf.DUMMYFUNCTION("""COMPUTED_VALUE"""),1.0)</f>
        <v>1</v>
      </c>
      <c r="K133" s="29" t="str">
        <f>IFERROR(__xludf.DUMMYFUNCTION("""COMPUTED_VALUE"""),"Si - “Seth”")</f>
        <v>Si - “Seth”</v>
      </c>
      <c r="L133" s="29" t="str">
        <f>IFERROR(__xludf.DUMMYFUNCTION("""COMPUTED_VALUE"""),"No")</f>
        <v>No</v>
      </c>
      <c r="M133" s="28"/>
      <c r="O133" s="28">
        <v>149.0</v>
      </c>
      <c r="P133" s="28">
        <v>12.0</v>
      </c>
      <c r="Q133" s="28">
        <v>161.0</v>
      </c>
      <c r="R133" s="28">
        <v>80.5</v>
      </c>
      <c r="S133" s="28">
        <v>80.5</v>
      </c>
      <c r="W133" s="29">
        <f>IFERROR(__xludf.DUMMYFUNCTION("""COMPUTED_VALUE"""),9.8271603E8)</f>
        <v>982716030</v>
      </c>
      <c r="X133" s="29" t="str">
        <f>IFERROR(__xludf.DUMMYFUNCTION("""COMPUTED_VALUE"""),"Linos 187 Urb. Recaudadores - Salamanca Ate ")</f>
        <v>Linos 187 Urb. Recaudadores - Salamanca Ate </v>
      </c>
      <c r="Y133" s="29" t="str">
        <f>IFERROR(__xludf.DUMMYFUNCTION("""COMPUTED_VALUE"""),".")</f>
        <v>.</v>
      </c>
      <c r="Z133" s="29" t="str">
        <f>IFERROR(__xludf.DUMMYFUNCTION("""COMPUTED_VALUE"""),"Para mi")</f>
        <v>Para mi</v>
      </c>
      <c r="AB133" s="30" t="str">
        <f>IFERROR(__xludf.DUMMYFUNCTION("""COMPUTED_VALUE"""),"Denisse")</f>
        <v>Denisse</v>
      </c>
      <c r="AC133" s="28" t="s">
        <v>267</v>
      </c>
      <c r="AD133" s="29" t="str">
        <f>IFERROR(__xludf.DUMMYFUNCTION("""COMPUTED_VALUE"""),"Si puede adicionar una tarjeta que diga “Para que Seth también vaya con usted, señito Betty”")</f>
        <v>Si puede adicionar una tarjeta que diga “Para que Seth también vaya con usted, señito Betty”</v>
      </c>
      <c r="AE133" s="29" t="str">
        <f>IFERROR(__xludf.DUMMYFUNCTION("""COMPUTED_VALUE"""),"La mascotita está contigo  🐾🎉")</f>
        <v>La mascotita está contigo  🐾🎉</v>
      </c>
    </row>
    <row r="134" ht="15.75" customHeight="1">
      <c r="A134" s="28" t="s">
        <v>268</v>
      </c>
      <c r="B134" s="28" t="s">
        <v>33</v>
      </c>
      <c r="C134" s="29" t="str">
        <f>IFERROR(__xludf.DUMMYFUNCTION("""COMPUTED_VALUE"""),"MILAGROS YOLANDA CHOQUE BERROCAL")</f>
        <v>MILAGROS YOLANDA CHOQUE BERROCAL</v>
      </c>
      <c r="E134" s="29" t="str">
        <f>IFERROR(__xludf.DUMMYFUNCTION("""COMPUTED_VALUE"""),"Collar de Plata modelo Corazón grabado ambos lados")</f>
        <v>Collar de Plata modelo Corazón grabado ambos lados</v>
      </c>
      <c r="F134" s="23">
        <v>46101.0</v>
      </c>
      <c r="G134" s="23"/>
      <c r="H134" s="23">
        <v>46108.0</v>
      </c>
      <c r="I134" s="29" t="str">
        <f>IFERROR(__xludf.DUMMYFUNCTION("""COMPUTED_VALUE"""),"01")</f>
        <v>01</v>
      </c>
      <c r="K134" s="29" t="str">
        <f>IFERROR(__xludf.DUMMYFUNCTION("""COMPUTED_VALUE"""),"Pancita (es la gatita)")</f>
        <v>Pancita (es la gatita)</v>
      </c>
      <c r="L134" s="29" t="str">
        <f>IFERROR(__xludf.DUMMYFUNCTION("""COMPUTED_VALUE"""),"Yayito (es el perrito)")</f>
        <v>Yayito (es el perrito)</v>
      </c>
      <c r="M134" s="28" t="s">
        <v>217</v>
      </c>
      <c r="O134" s="28">
        <v>219.0</v>
      </c>
      <c r="P134" s="28">
        <v>12.0</v>
      </c>
      <c r="Q134" s="28">
        <v>239.0</v>
      </c>
      <c r="R134" s="28">
        <v>115.5</v>
      </c>
      <c r="S134" s="28">
        <v>123.5</v>
      </c>
      <c r="W134" s="29">
        <f>IFERROR(__xludf.DUMMYFUNCTION("""COMPUTED_VALUE"""),9.59566994E8)</f>
        <v>959566994</v>
      </c>
      <c r="X134" s="29" t="str">
        <f>IFERROR(__xludf.DUMMYFUNCTION("""COMPUTED_VALUE"""),"no")</f>
        <v>no</v>
      </c>
      <c r="Y134" s="29" t="str">
        <f>IFERROR(__xludf.DUMMYFUNCTION("""COMPUTED_VALUE"""),"MILAGROS YOLANDA CHOQUE BERROCAL DNI 29630758 AGENCIA SHALOM LA TOMILLA DISTRITO CAYMA AREQUIPA AREQUIPA")</f>
        <v>MILAGROS YOLANDA CHOQUE BERROCAL DNI 29630758 AGENCIA SHALOM LA TOMILLA DISTRITO CAYMA AREQUIPA AREQUIPA</v>
      </c>
      <c r="Z134" s="29" t="str">
        <f>IFERROR(__xludf.DUMMYFUNCTION("""COMPUTED_VALUE"""),"PARA MI HERMANITA ROSITA!! POR SU CUMPLEAÑOS")</f>
        <v>PARA MI HERMANITA ROSITA!! POR SU CUMPLEAÑOS</v>
      </c>
      <c r="AB134" s="30" t="str">
        <f>IFERROR(__xludf.DUMMYFUNCTION("""COMPUTED_VALUE"""),"Denisse")</f>
        <v>Denisse</v>
      </c>
      <c r="AC134" s="28" t="s">
        <v>269</v>
      </c>
      <c r="AD134" s="29" t="str">
        <f>IFERROR(__xludf.DUMMYFUNCTION("""COMPUTED_VALUE"""),"si pudieran por favor ponerle una tarjetita: desde el cielo!!! tus hijitos: Pacis y Yaito ")</f>
        <v>si pudieran por favor ponerle una tarjetita: desde el cielo!!! tus hijitos: Pacis y Yaito </v>
      </c>
      <c r="AE134" s="29" t="str">
        <f>IFERROR(__xludf.DUMMYFUNCTION("""COMPUTED_VALUE"""),"La mascotita está contigo  🐾🎉")</f>
        <v>La mascotita está contigo  🐾🎉</v>
      </c>
    </row>
    <row r="135" ht="15.75" customHeight="1">
      <c r="A135" s="28" t="s">
        <v>270</v>
      </c>
      <c r="B135" s="28" t="s">
        <v>33</v>
      </c>
      <c r="C135" s="29" t="str">
        <f>IFERROR(__xludf.DUMMYFUNCTION("""COMPUTED_VALUE"""),"Nathaly Reforme Rojas")</f>
        <v>Nathaly Reforme Rojas</v>
      </c>
      <c r="E135" s="29" t="str">
        <f>IFERROR(__xludf.DUMMYFUNCTION("""COMPUTED_VALUE"""),"Llavero en acero - S/89.00")</f>
        <v>Llavero en acero - S/89.00</v>
      </c>
      <c r="F135" s="23">
        <v>46105.0</v>
      </c>
      <c r="G135" s="23"/>
      <c r="H135" s="23">
        <v>46112.0</v>
      </c>
      <c r="I135" s="29">
        <f>IFERROR(__xludf.DUMMYFUNCTION("""COMPUTED_VALUE"""),1.0)</f>
        <v>1</v>
      </c>
      <c r="K135" s="29" t="str">
        <f>IFERROR(__xludf.DUMMYFUNCTION("""COMPUTED_VALUE"""),"Cooper, en la parte de arriba / NC♥ - en la parte de abajo o del costado")</f>
        <v>Cooper, en la parte de arriba / NC♥ - en la parte de abajo o del costado</v>
      </c>
      <c r="L135" s="29" t="str">
        <f>IFERROR(__xludf.DUMMYFUNCTION("""COMPUTED_VALUE"""),"no")</f>
        <v>no</v>
      </c>
      <c r="M135" s="28" t="s">
        <v>217</v>
      </c>
      <c r="O135" s="28">
        <v>89.0</v>
      </c>
      <c r="P135" s="28">
        <v>12.0</v>
      </c>
      <c r="Q135" s="28">
        <v>106.0</v>
      </c>
      <c r="R135" s="28">
        <v>50.5</v>
      </c>
      <c r="S135" s="28">
        <v>55.5</v>
      </c>
      <c r="W135" s="29">
        <f>IFERROR(__xludf.DUMMYFUNCTION("""COMPUTED_VALUE"""),9.99973405E8)</f>
        <v>999973405</v>
      </c>
      <c r="X135" s="29" t="str">
        <f>IFERROR(__xludf.DUMMYFUNCTION("""COMPUTED_VALUE"""),"Calle Domingo Elias 148 - Miraflores / Cooperativa La Rehabilitadora")</f>
        <v>Calle Domingo Elias 148 - Miraflores / Cooperativa La Rehabilitadora</v>
      </c>
      <c r="Y135" s="29" t="str">
        <f>IFERROR(__xludf.DUMMYFUNCTION("""COMPUTED_VALUE"""),".")</f>
        <v>.</v>
      </c>
      <c r="Z135" s="29" t="str">
        <f>IFERROR(__xludf.DUMMYFUNCTION("""COMPUTED_VALUE"""),"Christian Miranda / Pero yo lo voy a recibir para entregarle ")</f>
        <v>Christian Miranda / Pero yo lo voy a recibir para entregarle </v>
      </c>
      <c r="AB135" s="30" t="str">
        <f>IFERROR(__xludf.DUMMYFUNCTION("""COMPUTED_VALUE"""),"Linda")</f>
        <v>Linda</v>
      </c>
      <c r="AC135" s="28"/>
      <c r="AD135" s="29" t="str">
        <f>IFERROR(__xludf.DUMMYFUNCTION("""COMPUTED_VALUE"""),"Que sea en un empaque de regalo por favor, y en ese empaque no tenga nada referente al pedido, ni dirección ni nada para poder entregarle así. ")</f>
        <v>Que sea en un empaque de regalo por favor, y en ese empaque no tenga nada referente al pedido, ni dirección ni nada para poder entregarle así. </v>
      </c>
      <c r="AE135" s="29" t="str">
        <f>IFERROR(__xludf.DUMMYFUNCTION("""COMPUTED_VALUE"""),"La mascotita ya está en el arcoiris 🌈🙏")</f>
        <v>La mascotita ya está en el arcoiris 🌈🙏</v>
      </c>
    </row>
    <row r="136" ht="15.75" customHeight="1">
      <c r="A136" s="28" t="s">
        <v>271</v>
      </c>
      <c r="B136" s="28" t="s">
        <v>33</v>
      </c>
      <c r="C136" s="29" t="str">
        <f>IFERROR(__xludf.DUMMYFUNCTION("""COMPUTED_VALUE"""),"Edgar Silva")</f>
        <v>Edgar Silva</v>
      </c>
      <c r="E136" s="29" t="str">
        <f>IFERROR(__xludf.DUMMYFUNCTION("""COMPUTED_VALUE"""),"Pulsera con cadena con dos dijes")</f>
        <v>Pulsera con cadena con dos dijes</v>
      </c>
      <c r="F136" s="23">
        <v>46107.0</v>
      </c>
      <c r="G136" s="23"/>
      <c r="H136" s="23">
        <v>46116.0</v>
      </c>
      <c r="I136" s="29">
        <f>IFERROR(__xludf.DUMMYFUNCTION("""COMPUTED_VALUE"""),1.0)</f>
        <v>1</v>
      </c>
      <c r="K136" s="29" t="str">
        <f>IFERROR(__xludf.DUMMYFUNCTION("""COMPUTED_VALUE"""),"Guiarse de las fotos que envié por wap es Sasha y Athena")</f>
        <v>Guiarse de las fotos que envié por wap es Sasha y Athena</v>
      </c>
      <c r="L136" s="29" t="str">
        <f>IFERROR(__xludf.DUMMYFUNCTION("""COMPUTED_VALUE"""),"No")</f>
        <v>No</v>
      </c>
      <c r="M136" s="28" t="s">
        <v>217</v>
      </c>
      <c r="O136" s="28">
        <v>279.0</v>
      </c>
      <c r="P136" s="28">
        <v>0.0</v>
      </c>
      <c r="Q136" s="28">
        <v>295.0</v>
      </c>
      <c r="R136" s="28">
        <v>134.5</v>
      </c>
      <c r="S136" s="28">
        <v>160.5</v>
      </c>
      <c r="W136" s="29">
        <f>IFERROR(__xludf.DUMMYFUNCTION("""COMPUTED_VALUE"""),9.67641555E8)</f>
        <v>967641555</v>
      </c>
      <c r="X136" s="29" t="str">
        <f>IFERROR(__xludf.DUMMYFUNCTION("""COMPUTED_VALUE"""),"-")</f>
        <v>-</v>
      </c>
      <c r="Y136" s="29" t="str">
        <f>IFERROR(__xludf.DUMMYFUNCTION("""COMPUTED_VALUE"""),"Edgar Silva Yzaguirre / 967641555 / 43869019 / Shalom Av. Principal ")</f>
        <v>Edgar Silva Yzaguirre / 967641555 / 43869019 / Shalom Av. Principal </v>
      </c>
      <c r="Z136" s="29" t="str">
        <f>IFERROR(__xludf.DUMMYFUNCTION("""COMPUTED_VALUE"""),"Es un regalo")</f>
        <v>Es un regalo</v>
      </c>
      <c r="AB136" s="30" t="str">
        <f>IFERROR(__xludf.DUMMYFUNCTION("""COMPUTED_VALUE"""),"Denisse")</f>
        <v>Denisse</v>
      </c>
      <c r="AC136" s="28" t="s">
        <v>272</v>
      </c>
      <c r="AD136" s="29" t="str">
        <f>IFERROR(__xludf.DUMMYFUNCTION("""COMPUTED_VALUE"""),"Que pueda salir claro la impresión del rostro")</f>
        <v>Que pueda salir claro la impresión del rostro</v>
      </c>
      <c r="AE136" s="29" t="str">
        <f>IFERROR(__xludf.DUMMYFUNCTION("""COMPUTED_VALUE"""),"La mascotita ya está en el arcoiris 🌈🙏")</f>
        <v>La mascotita ya está en el arcoiris 🌈🙏</v>
      </c>
    </row>
    <row r="137" ht="15.75" customHeight="1">
      <c r="A137" s="28" t="s">
        <v>273</v>
      </c>
      <c r="B137" s="28" t="s">
        <v>263</v>
      </c>
      <c r="C137" s="29" t="str">
        <f>IFERROR(__xludf.DUMMYFUNCTION("""COMPUTED_VALUE"""),"Verónica Sevillano ")</f>
        <v>Verónica Sevillano </v>
      </c>
      <c r="E137" s="29" t="str">
        <f>IFERROR(__xludf.DUMMYFUNCTION("""COMPUTED_VALUE"""),"Dije 2 cm por ambos lados")</f>
        <v>Dije 2 cm por ambos lados</v>
      </c>
      <c r="F137" s="23">
        <v>46113.0</v>
      </c>
      <c r="G137" s="23"/>
      <c r="H137" s="23">
        <v>46120.0</v>
      </c>
      <c r="I137" s="29" t="str">
        <f>IFERROR(__xludf.DUMMYFUNCTION("""COMPUTED_VALUE"""),"2 dijes")</f>
        <v>2 dijes</v>
      </c>
      <c r="K137" s="29" t="str">
        <f>IFERROR(__xludf.DUMMYFUNCTION("""COMPUTED_VALUE"""),"Ambos lados ")</f>
        <v>Ambos lados </v>
      </c>
      <c r="L137" s="29" t="str">
        <f>IFERROR(__xludf.DUMMYFUNCTION("""COMPUTED_VALUE"""),"Ambos lados")</f>
        <v>Ambos lados</v>
      </c>
      <c r="M137" s="28"/>
      <c r="O137" s="28">
        <v>278.0</v>
      </c>
      <c r="P137" s="28">
        <v>0.0</v>
      </c>
      <c r="Q137" s="28">
        <v>278.0</v>
      </c>
      <c r="R137" s="28">
        <v>139.0</v>
      </c>
      <c r="S137" s="28">
        <v>139.0</v>
      </c>
      <c r="W137" s="29">
        <f>IFERROR(__xludf.DUMMYFUNCTION("""COMPUTED_VALUE"""),9.5801352E8)</f>
        <v>958013520</v>
      </c>
      <c r="X137" s="29" t="str">
        <f>IFERROR(__xludf.DUMMYFUNCTION("""COMPUTED_VALUE"""),"Av. Sergio Bernales 585 dpto 502 - surquillo")</f>
        <v>Av. Sergio Bernales 585 dpto 502 - surquillo</v>
      </c>
      <c r="Y137" s="29" t="str">
        <f>IFERROR(__xludf.DUMMYFUNCTION("""COMPUTED_VALUE"""),"Verónica Sevillano, 958013520")</f>
        <v>Verónica Sevillano, 958013520</v>
      </c>
      <c r="Z137" s="29" t="str">
        <f>IFERROR(__xludf.DUMMYFUNCTION("""COMPUTED_VALUE"""),"Para mi")</f>
        <v>Para mi</v>
      </c>
      <c r="AB137" s="30" t="str">
        <f>IFERROR(__xludf.DUMMYFUNCTION("""COMPUTED_VALUE"""),"Sandra")</f>
        <v>Sandra</v>
      </c>
      <c r="AC137" s="28" t="s">
        <v>274</v>
      </c>
      <c r="AD137" s="29" t="str">
        <f>IFERROR(__xludf.DUMMYFUNCTION("""COMPUTED_VALUE"""),"Imagen por ambos lados")</f>
        <v>Imagen por ambos lados</v>
      </c>
      <c r="AE137" s="29" t="str">
        <f>IFERROR(__xludf.DUMMYFUNCTION("""COMPUTED_VALUE"""),"La mascotita está contigo  🐾🎉")</f>
        <v>La mascotita está contigo  🐾🎉</v>
      </c>
    </row>
    <row r="138" ht="15.75" customHeight="1">
      <c r="A138" s="28" t="s">
        <v>275</v>
      </c>
      <c r="B138" s="28" t="s">
        <v>234</v>
      </c>
      <c r="C138" s="29" t="str">
        <f>IFERROR(__xludf.DUMMYFUNCTION("""COMPUTED_VALUE"""),"Rosario Vásquez Rojas ")</f>
        <v>Rosario Vásquez Rojas </v>
      </c>
      <c r="E138" s="29" t="str">
        <f>IFERROR(__xludf.DUMMYFUNCTION("""COMPUTED_VALUE"""),"Pulsera plata modelo tejida Huellita ")</f>
        <v>Pulsera plata modelo tejida Huellita </v>
      </c>
      <c r="F138" s="31">
        <v>46116.0</v>
      </c>
      <c r="G138" s="23"/>
      <c r="H138" s="23">
        <v>46125.0</v>
      </c>
      <c r="I138" s="29">
        <f>IFERROR(__xludf.DUMMYFUNCTION("""COMPUTED_VALUE"""),1.0)</f>
        <v>1</v>
      </c>
      <c r="K138" s="29" t="str">
        <f>IFERROR(__xludf.DUMMYFUNCTION("""COMPUTED_VALUE"""),"Mía")</f>
        <v>Mía</v>
      </c>
      <c r="L138" s="29" t="str">
        <f>IFERROR(__xludf.DUMMYFUNCTION("""COMPUTED_VALUE"""),"No")</f>
        <v>No</v>
      </c>
      <c r="M138" s="28"/>
      <c r="O138" s="28">
        <v>69.0</v>
      </c>
      <c r="P138" s="28">
        <v>12.0</v>
      </c>
      <c r="Q138" s="28">
        <v>81.0</v>
      </c>
      <c r="R138" s="28">
        <v>40.5</v>
      </c>
      <c r="S138" s="28">
        <v>40.5</v>
      </c>
      <c r="W138" s="29">
        <f>IFERROR(__xludf.DUMMYFUNCTION("""COMPUTED_VALUE"""),9.95022901E8)</f>
        <v>995022901</v>
      </c>
      <c r="X138" s="29" t="str">
        <f>IFERROR(__xludf.DUMMYFUNCTION("""COMPUTED_VALUE"""),"La Dirección depende de la fecha de entrega ")</f>
        <v>La Dirección depende de la fecha de entrega </v>
      </c>
      <c r="Y138" s="29" t="str">
        <f>IFERROR(__xludf.DUMMYFUNCTION("""COMPUTED_VALUE"""),"No he marcado x éste servicio ")</f>
        <v>No he marcado x éste servicio </v>
      </c>
      <c r="Z138" s="29" t="str">
        <f>IFERROR(__xludf.DUMMYFUNCTION("""COMPUTED_VALUE"""),"Para mi")</f>
        <v>Para mi</v>
      </c>
      <c r="AB138" s="30" t="str">
        <f>IFERROR(__xludf.DUMMYFUNCTION("""COMPUTED_VALUE"""),"Denisse")</f>
        <v>Denisse</v>
      </c>
      <c r="AC138" s="28" t="s">
        <v>276</v>
      </c>
      <c r="AD138" s="29" t="str">
        <f>IFERROR(__xludf.DUMMYFUNCTION("""COMPUTED_VALUE"""),"La coordinación para el envío y poder detallar la dirección en la que me encontraré ")</f>
        <v>La coordinación para el envío y poder detallar la dirección en la que me encontraré </v>
      </c>
      <c r="AE138" s="29" t="str">
        <f>IFERROR(__xludf.DUMMYFUNCTION("""COMPUTED_VALUE"""),"La mascotita está contigo  🐾🎉")</f>
        <v>La mascotita está contigo  🐾🎉</v>
      </c>
    </row>
    <row r="139" ht="15.75" customHeight="1">
      <c r="A139" s="28" t="s">
        <v>277</v>
      </c>
      <c r="B139" s="28" t="s">
        <v>263</v>
      </c>
      <c r="C139" s="29" t="str">
        <f>IFERROR(__xludf.DUMMYFUNCTION("""COMPUTED_VALUE"""),"Maria Isabel Chocaca Ayala")</f>
        <v>Maria Isabel Chocaca Ayala</v>
      </c>
      <c r="E139" s="29" t="str">
        <f>IFERROR(__xludf.DUMMYFUNCTION("""COMPUTED_VALUE"""),"Collar dije corazón s/169")</f>
        <v>Collar dije corazón s/169</v>
      </c>
      <c r="F139" s="31">
        <v>46117.0</v>
      </c>
      <c r="G139" s="23"/>
      <c r="H139" s="23">
        <v>46118.0</v>
      </c>
      <c r="I139" s="29">
        <f>IFERROR(__xludf.DUMMYFUNCTION("""COMPUTED_VALUE"""),2.0)</f>
        <v>2</v>
      </c>
      <c r="K139" s="29" t="str">
        <f>IFERROR(__xludf.DUMMYFUNCTION("""COMPUTED_VALUE"""),"No tiene ")</f>
        <v>No tiene </v>
      </c>
      <c r="L139" s="29" t="str">
        <f>IFERROR(__xludf.DUMMYFUNCTION("""COMPUTED_VALUE"""),"Samantha. Siempre en mi corazón. 12.03.26")</f>
        <v>Samantha. Siempre en mi corazón. 12.03.26</v>
      </c>
      <c r="M139" s="28" t="s">
        <v>36</v>
      </c>
      <c r="O139" s="28">
        <v>358.0</v>
      </c>
      <c r="P139" s="28">
        <v>0.0</v>
      </c>
      <c r="Q139" s="28">
        <v>358.0</v>
      </c>
      <c r="R139" s="28">
        <v>358.0</v>
      </c>
      <c r="S139" s="28">
        <v>0.0</v>
      </c>
      <c r="W139" s="29">
        <f>IFERROR(__xludf.DUMMYFUNCTION("""COMPUTED_VALUE"""),9.32023799E8)</f>
        <v>932023799</v>
      </c>
      <c r="X139" s="29" t="str">
        <f>IFERROR(__xludf.DUMMYFUNCTION("""COMPUTED_VALUE"""),". ")</f>
        <v>. </v>
      </c>
      <c r="Y139" s="29" t="str">
        <f>IFERROR(__xludf.DUMMYFUNCTION("""COMPUTED_VALUE"""),"Maria Isabel Chocaca Ayala, 932023799, 74027926, Agencia Talara Pariñas")</f>
        <v>Maria Isabel Chocaca Ayala, 932023799, 74027926, Agencia Talara Pariñas</v>
      </c>
      <c r="Z139" s="29" t="str">
        <f>IFERROR(__xludf.DUMMYFUNCTION("""COMPUTED_VALUE"""),"Para mi")</f>
        <v>Para mi</v>
      </c>
      <c r="AB139" s="30" t="str">
        <f>IFERROR(__xludf.DUMMYFUNCTION("""COMPUTED_VALUE"""),"Linda")</f>
        <v>Linda</v>
      </c>
      <c r="AC139" s="28" t="s">
        <v>278</v>
      </c>
      <c r="AD139" s="29" t="str">
        <f>IFERROR(__xludf.DUMMYFUNCTION("""COMPUTED_VALUE"""),"Al costado de su nombre que vaya una huellita")</f>
        <v>Al costado de su nombre que vaya una huellita</v>
      </c>
      <c r="AE139" s="29" t="str">
        <f>IFERROR(__xludf.DUMMYFUNCTION("""COMPUTED_VALUE"""),"La mascotita está contigo  🐾🎉")</f>
        <v>La mascotita está contigo  🐾🎉</v>
      </c>
    </row>
    <row r="140" ht="15.75" customHeight="1">
      <c r="A140" s="28" t="s">
        <v>279</v>
      </c>
      <c r="B140" s="28" t="s">
        <v>263</v>
      </c>
      <c r="C140" s="29" t="str">
        <f>IFERROR(__xludf.DUMMYFUNCTION("""COMPUTED_VALUE"""),"Nora ismenia Pizarro zeña ")</f>
        <v>Nora ismenia Pizarro zeña </v>
      </c>
      <c r="E140" s="29" t="str">
        <f>IFERROR(__xludf.DUMMYFUNCTION("""COMPUTED_VALUE"""),"Cadena con dije en acero quirúrgico ")</f>
        <v>Cadena con dije en acero quirúrgico </v>
      </c>
      <c r="F140" s="31">
        <v>46117.0</v>
      </c>
      <c r="G140" s="23"/>
      <c r="H140" s="23">
        <v>46119.0</v>
      </c>
      <c r="I140" s="29">
        <f>IFERROR(__xludf.DUMMYFUNCTION("""COMPUTED_VALUE"""),1.0)</f>
        <v>1</v>
      </c>
      <c r="K140" s="29" t="str">
        <f>IFERROR(__xludf.DUMMYFUNCTION("""COMPUTED_VALUE"""),"Si el nombre Pequeña ")</f>
        <v>Si el nombre Pequeña </v>
      </c>
      <c r="L140" s="29" t="str">
        <f>IFERROR(__xludf.DUMMYFUNCTION("""COMPUTED_VALUE"""),"No")</f>
        <v>No</v>
      </c>
      <c r="M140" s="28"/>
      <c r="O140" s="28">
        <v>89.0</v>
      </c>
      <c r="P140" s="28">
        <v>12.0</v>
      </c>
      <c r="Q140" s="28">
        <v>101.0</v>
      </c>
      <c r="R140" s="28">
        <v>50.5</v>
      </c>
      <c r="S140" s="28">
        <v>50.5</v>
      </c>
      <c r="W140" s="29">
        <f>IFERROR(__xludf.DUMMYFUNCTION("""COMPUTED_VALUE"""),9.0124836E8)</f>
        <v>901248360</v>
      </c>
      <c r="X140" s="29" t="str">
        <f>IFERROR(__xludf.DUMMYFUNCTION("""COMPUTED_VALUE"""),"No háganlo hermoso ")</f>
        <v>No háganlo hermoso </v>
      </c>
      <c r="Y140" s="29" t="str">
        <f>IFERROR(__xludf.DUMMYFUNCTION("""COMPUTED_VALUE"""),"Nora ismenia Pizarro zeña / 901248360/ 48879645/ chimbote - Gálvez ")</f>
        <v>Nora ismenia Pizarro zeña / 901248360/ 48879645/ chimbote - Gálvez </v>
      </c>
      <c r="Z140" s="29" t="str">
        <f>IFERROR(__xludf.DUMMYFUNCTION("""COMPUTED_VALUE"""),"Hermana ")</f>
        <v>Hermana </v>
      </c>
      <c r="AB140" s="30" t="str">
        <f>IFERROR(__xludf.DUMMYFUNCTION("""COMPUTED_VALUE"""),"Sandra")</f>
        <v>Sandra</v>
      </c>
      <c r="AC140" s="28" t="s">
        <v>280</v>
      </c>
      <c r="AD140" s="29" t="str">
        <f>IFERROR(__xludf.DUMMYFUNCTION("""COMPUTED_VALUE"""),"Háganlo lindo")</f>
        <v>Háganlo lindo</v>
      </c>
      <c r="AE140" s="29" t="str">
        <f>IFERROR(__xludf.DUMMYFUNCTION("""COMPUTED_VALUE"""),"La mascotita está contigo  🐾🎉")</f>
        <v>La mascotita está contigo  🐾🎉</v>
      </c>
    </row>
    <row r="141" ht="15.75" customHeight="1">
      <c r="A141" s="28" t="s">
        <v>281</v>
      </c>
      <c r="C141" s="29" t="str">
        <f>IFERROR(__xludf.DUMMYFUNCTION("""COMPUTED_VALUE"""),"Yrene Montaño Delgado")</f>
        <v>Yrene Montaño Delgado</v>
      </c>
      <c r="E141" s="29" t="str">
        <f>IFERROR(__xludf.DUMMYFUNCTION("""COMPUTED_VALUE"""),"Pulsera color beige con huellitas ")</f>
        <v>Pulsera color beige con huellitas </v>
      </c>
      <c r="G141" s="23"/>
      <c r="H141" s="23"/>
      <c r="I141" s="29">
        <f>IFERROR(__xludf.DUMMYFUNCTION("""COMPUTED_VALUE"""),1.0)</f>
        <v>1</v>
      </c>
      <c r="K141" s="29" t="str">
        <f>IFERROR(__xludf.DUMMYFUNCTION("""COMPUTED_VALUE"""),"Si")</f>
        <v>Si</v>
      </c>
      <c r="L141" s="29" t="str">
        <f>IFERROR(__xludf.DUMMYFUNCTION("""COMPUTED_VALUE"""),"No")</f>
        <v>No</v>
      </c>
      <c r="M141" s="28"/>
      <c r="W141" s="29">
        <f>IFERROR(__xludf.DUMMYFUNCTION("""COMPUTED_VALUE"""),9.37257034E8)</f>
        <v>937257034</v>
      </c>
      <c r="X141" s="29" t="str">
        <f>IFERROR(__xludf.DUMMYFUNCTION("""COMPUTED_VALUE"""),"No")</f>
        <v>No</v>
      </c>
      <c r="Y141" s="29" t="str">
        <f>IFERROR(__xludf.DUMMYFUNCTION("""COMPUTED_VALUE"""),"Jhony Richard Lara Zamora 993014178 DNI 16727740")</f>
        <v>Jhony Richard Lara Zamora 993014178 DNI 16727740</v>
      </c>
      <c r="Z141" s="29" t="str">
        <f>IFERROR(__xludf.DUMMYFUNCTION("""COMPUTED_VALUE"""),"Para mi")</f>
        <v>Para mi</v>
      </c>
      <c r="AB141" s="30" t="str">
        <f>IFERROR(__xludf.DUMMYFUNCTION("""COMPUTED_VALUE"""),"Denisse")</f>
        <v>Denisse</v>
      </c>
      <c r="AD141" s="29" t="str">
        <f>IFERROR(__xludf.DUMMYFUNCTION("""COMPUTED_VALUE"""),"Agencia Shalom de Urb La Perla Trujillo")</f>
        <v>Agencia Shalom de Urb La Perla Trujillo</v>
      </c>
      <c r="AE141" s="29" t="str">
        <f>IFERROR(__xludf.DUMMYFUNCTION("""COMPUTED_VALUE"""),"La mascotita está contigo  🐾🎉")</f>
        <v>La mascotita está contigo  🐾🎉</v>
      </c>
    </row>
    <row r="142" ht="15.75" customHeight="1">
      <c r="A142" s="28" t="s">
        <v>282</v>
      </c>
      <c r="C142" s="29" t="str">
        <f>IFERROR(__xludf.DUMMYFUNCTION("""COMPUTED_VALUE"""),"María Teresa Villavicencio Mendoza")</f>
        <v>María Teresa Villavicencio Mendoza</v>
      </c>
      <c r="E142" s="29" t="str">
        <f>IFERROR(__xludf.DUMMYFUNCTION("""COMPUTED_VALUE"""),"Pulsera huellita ")</f>
        <v>Pulsera huellita </v>
      </c>
      <c r="G142" s="23"/>
      <c r="H142" s="23"/>
      <c r="I142" s="29">
        <f>IFERROR(__xludf.DUMMYFUNCTION("""COMPUTED_VALUE"""),1.0)</f>
        <v>1</v>
      </c>
      <c r="K142" s="29" t="str">
        <f>IFERROR(__xludf.DUMMYFUNCTION("""COMPUTED_VALUE"""),"Si")</f>
        <v>Si</v>
      </c>
      <c r="L142" s="29" t="str">
        <f>IFERROR(__xludf.DUMMYFUNCTION("""COMPUTED_VALUE"""),"No")</f>
        <v>No</v>
      </c>
      <c r="M142" s="28"/>
      <c r="W142" s="29">
        <f>IFERROR(__xludf.DUMMYFUNCTION("""COMPUTED_VALUE"""),9.55417868E8)</f>
        <v>955417868</v>
      </c>
      <c r="X142" s="29" t="str">
        <f>IFERROR(__xludf.DUMMYFUNCTION("""COMPUTED_VALUE"""),"Calle Pietro Vitorelli 247 Urb Santa Catalina La Victoria a nombre de María Teresa Villavicencio 955417868")</f>
        <v>Calle Pietro Vitorelli 247 Urb Santa Catalina La Victoria a nombre de María Teresa Villavicencio 955417868</v>
      </c>
      <c r="Y142" s="29" t="str">
        <f>IFERROR(__xludf.DUMMYFUNCTION("""COMPUTED_VALUE"""),"No")</f>
        <v>No</v>
      </c>
      <c r="Z142" s="29" t="str">
        <f>IFERROR(__xludf.DUMMYFUNCTION("""COMPUTED_VALUE"""),"Para mi")</f>
        <v>Para mi</v>
      </c>
      <c r="AB142" s="30" t="str">
        <f>IFERROR(__xludf.DUMMYFUNCTION("""COMPUTED_VALUE"""),"Linda")</f>
        <v>Linda</v>
      </c>
      <c r="AD142" s="29" t="str">
        <f>IFERROR(__xludf.DUMMYFUNCTION("""COMPUTED_VALUE"""),"Lo necesito antes del Martes ")</f>
        <v>Lo necesito antes del Martes </v>
      </c>
      <c r="AE142" s="29" t="str">
        <f>IFERROR(__xludf.DUMMYFUNCTION("""COMPUTED_VALUE"""),"La mascotita ya está en el arcoiris 🌈🙏")</f>
        <v>La mascotita ya está en el arcoiris 🌈🙏</v>
      </c>
    </row>
    <row r="143" ht="15.75" customHeight="1">
      <c r="A143" s="28" t="s">
        <v>283</v>
      </c>
      <c r="C143" s="29" t="str">
        <f>IFERROR(__xludf.DUMMYFUNCTION("""COMPUTED_VALUE"""),"Paolo Marinelli")</f>
        <v>Paolo Marinelli</v>
      </c>
      <c r="E143" s="29" t="str">
        <f>IFERROR(__xludf.DUMMYFUNCTION("""COMPUTED_VALUE"""),"Huellita mini")</f>
        <v>Huellita mini</v>
      </c>
      <c r="G143" s="23"/>
      <c r="H143" s="23"/>
      <c r="I143" s="29">
        <f>IFERROR(__xludf.DUMMYFUNCTION("""COMPUTED_VALUE"""),1.0)</f>
        <v>1</v>
      </c>
      <c r="K143" s="29" t="str">
        <f>IFERROR(__xludf.DUMMYFUNCTION("""COMPUTED_VALUE"""),"no")</f>
        <v>no</v>
      </c>
      <c r="L143" s="29" t="str">
        <f>IFERROR(__xludf.DUMMYFUNCTION("""COMPUTED_VALUE"""),"no")</f>
        <v>no</v>
      </c>
      <c r="M143" s="28"/>
      <c r="W143" s="29">
        <f>IFERROR(__xludf.DUMMYFUNCTION("""COMPUTED_VALUE"""),9.42359571E8)</f>
        <v>942359571</v>
      </c>
      <c r="X143" s="29" t="str">
        <f>IFERROR(__xludf.DUMMYFUNCTION("""COMPUTED_VALUE"""),"Avenida aviación 3415, San Borja, Lima, Lima, Lima ,San Borja")</f>
        <v>Avenida aviación 3415, San Borja, Lima, Lima, Lima ,San Borja</v>
      </c>
      <c r="Y143" s="29" t="str">
        <f>IFERROR(__xludf.DUMMYFUNCTION("""COMPUTED_VALUE"""),"no")</f>
        <v>no</v>
      </c>
      <c r="Z143" s="29" t="str">
        <f>IFERROR(__xludf.DUMMYFUNCTION("""COMPUTED_VALUE"""),"regalo")</f>
        <v>regalo</v>
      </c>
      <c r="AB143" s="30" t="str">
        <f>IFERROR(__xludf.DUMMYFUNCTION("""COMPUTED_VALUE"""),"Sandra")</f>
        <v>Sandra</v>
      </c>
      <c r="AD143" s="29" t="str">
        <f>IFERROR(__xludf.DUMMYFUNCTION("""COMPUTED_VALUE"""),"para el jueves")</f>
        <v>para el jueves</v>
      </c>
      <c r="AE143" s="29" t="str">
        <f>IFERROR(__xludf.DUMMYFUNCTION("""COMPUTED_VALUE"""),"La mascotita está contigo  🐾🎉")</f>
        <v>La mascotita está contigo  🐾🎉</v>
      </c>
    </row>
    <row r="144" ht="15.75" customHeight="1">
      <c r="A144" s="28" t="s">
        <v>284</v>
      </c>
      <c r="C144" s="29" t="str">
        <f>IFERROR(__xludf.DUMMYFUNCTION("""COMPUTED_VALUE"""),"SANDRA")</f>
        <v>SANDRA</v>
      </c>
      <c r="E144" s="29" t="str">
        <f>IFERROR(__xludf.DUMMYFUNCTION("""COMPUTED_VALUE"""),"2 DIJES CORAZONES ")</f>
        <v>2 DIJES CORAZONES </v>
      </c>
      <c r="G144" s="23"/>
      <c r="H144" s="23"/>
      <c r="I144" s="29">
        <f>IFERROR(__xludf.DUMMYFUNCTION("""COMPUTED_VALUE"""),2.0)</f>
        <v>2</v>
      </c>
      <c r="K144" s="29" t="str">
        <f>IFERROR(__xludf.DUMMYFUNCTION("""COMPUTED_VALUE"""),"si")</f>
        <v>si</v>
      </c>
      <c r="L144" s="29" t="str">
        <f>IFERROR(__xludf.DUMMYFUNCTION("""COMPUTED_VALUE"""),"si")</f>
        <v>si</v>
      </c>
      <c r="M144" s="28"/>
      <c r="W144" s="29" t="str">
        <f>IFERROR(__xludf.DUMMYFUNCTION("""COMPUTED_VALUE"""),"XX")</f>
        <v>XX</v>
      </c>
      <c r="X144" s="29" t="str">
        <f>IFERROR(__xludf.DUMMYFUNCTION("""COMPUTED_VALUE"""),"xx")</f>
        <v>xx</v>
      </c>
      <c r="Y144" s="29" t="str">
        <f>IFERROR(__xludf.DUMMYFUNCTION("""COMPUTED_VALUE"""),"xxx")</f>
        <v>xxx</v>
      </c>
      <c r="Z144" s="29" t="str">
        <f>IFERROR(__xludf.DUMMYFUNCTION("""COMPUTED_VALUE"""),"Para mi")</f>
        <v>Para mi</v>
      </c>
      <c r="AB144" s="30" t="str">
        <f>IFERROR(__xludf.DUMMYFUNCTION("""COMPUTED_VALUE"""),"Sandra")</f>
        <v>Sandra</v>
      </c>
      <c r="AD144" s="29" t="str">
        <f>IFERROR(__xludf.DUMMYFUNCTION("""COMPUTED_VALUE"""),"Aqui se ha hecho un ajuste en los codigos.")</f>
        <v>Aqui se ha hecho un ajuste en los codigos.</v>
      </c>
      <c r="AE144" s="29" t="str">
        <f>IFERROR(__xludf.DUMMYFUNCTION("""COMPUTED_VALUE"""),"La mascotita está contigo  🐾🎉")</f>
        <v>La mascotita está contigo  🐾🎉</v>
      </c>
    </row>
    <row r="145" ht="15.75" customHeight="1">
      <c r="A145" s="28" t="s">
        <v>285</v>
      </c>
      <c r="C145" s="29" t="str">
        <f>IFERROR(__xludf.DUMMYFUNCTION("""COMPUTED_VALUE"""),"Sandra Flores Herrera")</f>
        <v>Sandra Flores Herrera</v>
      </c>
      <c r="E145" s="29" t="str">
        <f>IFERROR(__xludf.DUMMYFUNCTION("""COMPUTED_VALUE"""),"P07 Pulsera con hilo negro dije circular s/149")</f>
        <v>P07 Pulsera con hilo negro dije circular s/149</v>
      </c>
      <c r="G145" s="23"/>
      <c r="H145" s="23"/>
      <c r="I145" s="29">
        <f>IFERROR(__xludf.DUMMYFUNCTION("""COMPUTED_VALUE"""),1.0)</f>
        <v>1</v>
      </c>
      <c r="K145" s="29" t="str">
        <f>IFERROR(__xludf.DUMMYFUNCTION("""COMPUTED_VALUE"""),"si")</f>
        <v>si</v>
      </c>
      <c r="L145" s="29" t="str">
        <f>IFERROR(__xludf.DUMMYFUNCTION("""COMPUTED_VALUE"""),"xx")</f>
        <v>xx</v>
      </c>
      <c r="M145" s="28"/>
      <c r="W145" s="29" t="str">
        <f>IFERROR(__xludf.DUMMYFUNCTION("""COMPUTED_VALUE"""),"xx")</f>
        <v>xx</v>
      </c>
      <c r="X145" s="29" t="str">
        <f>IFERROR(__xludf.DUMMYFUNCTION("""COMPUTED_VALUE"""),"xx")</f>
        <v>xx</v>
      </c>
      <c r="Y145" s="29" t="str">
        <f>IFERROR(__xludf.DUMMYFUNCTION("""COMPUTED_VALUE"""),"xx")</f>
        <v>xx</v>
      </c>
      <c r="Z145" s="29" t="str">
        <f>IFERROR(__xludf.DUMMYFUNCTION("""COMPUTED_VALUE"""),"Para mi")</f>
        <v>Para mi</v>
      </c>
      <c r="AB145" s="30" t="str">
        <f>IFERROR(__xludf.DUMMYFUNCTION("""COMPUTED_VALUE"""),"Sandra")</f>
        <v>Sandra</v>
      </c>
      <c r="AD145" s="29" t="str">
        <f>IFERROR(__xludf.DUMMYFUNCTION("""COMPUTED_VALUE"""),"Reposición de una cliente que sus joyas se oxidaron, con ph.")</f>
        <v>Reposición de una cliente que sus joyas se oxidaron, con ph.</v>
      </c>
      <c r="AE145" s="29" t="str">
        <f>IFERROR(__xludf.DUMMYFUNCTION("""COMPUTED_VALUE"""),"No es de mascotita")</f>
        <v>No es de mascotita</v>
      </c>
    </row>
    <row r="146" ht="15.75" customHeight="1">
      <c r="A146" s="28" t="s">
        <v>286</v>
      </c>
      <c r="C146" s="29" t="str">
        <f>IFERROR(__xludf.DUMMYFUNCTION("""COMPUTED_VALUE"""),"Cecilia llanos flores")</f>
        <v>Cecilia llanos flores</v>
      </c>
      <c r="E146" s="29" t="str">
        <f>IFERROR(__xludf.DUMMYFUNCTION("""COMPUTED_VALUE"""),"Tipo pulsera de acero ")</f>
        <v>Tipo pulsera de acero </v>
      </c>
      <c r="G146" s="23"/>
      <c r="H146" s="23"/>
      <c r="I146" s="29">
        <f>IFERROR(__xludf.DUMMYFUNCTION("""COMPUTED_VALUE"""),1.0)</f>
        <v>1</v>
      </c>
      <c r="K146" s="29" t="str">
        <f>IFERROR(__xludf.DUMMYFUNCTION("""COMPUTED_VALUE"""),"La cara de mis perritos")</f>
        <v>La cara de mis perritos</v>
      </c>
      <c r="L146" s="29" t="str">
        <f>IFERROR(__xludf.DUMMYFUNCTION("""COMPUTED_VALUE"""),"No")</f>
        <v>No</v>
      </c>
      <c r="M146" s="28"/>
      <c r="W146" s="29">
        <f>IFERROR(__xludf.DUMMYFUNCTION("""COMPUTED_VALUE"""),9.87569237E8)</f>
        <v>987569237</v>
      </c>
      <c r="X146" s="29" t="str">
        <f>IFERROR(__xludf.DUMMYFUNCTION("""COMPUTED_VALUE"""),"Jirón Cristóbal de Peralta sur 231 surco , porteria")</f>
        <v>Jirón Cristóbal de Peralta sur 231 surco , porteria</v>
      </c>
      <c r="Y146" s="29" t="str">
        <f>IFERROR(__xludf.DUMMYFUNCTION("""COMPUTED_VALUE"""),"No")</f>
        <v>No</v>
      </c>
      <c r="Z146" s="29" t="str">
        <f>IFERROR(__xludf.DUMMYFUNCTION("""COMPUTED_VALUE"""),"Para mi")</f>
        <v>Para mi</v>
      </c>
      <c r="AB146" s="30" t="str">
        <f>IFERROR(__xludf.DUMMYFUNCTION("""COMPUTED_VALUE"""),"Denisse")</f>
        <v>Denisse</v>
      </c>
      <c r="AD146" s="29" t="str">
        <f>IFERROR(__xludf.DUMMYFUNCTION("""COMPUTED_VALUE"""),"Nada. Sé que quedará lindo ")</f>
        <v>Nada. Sé que quedará lindo </v>
      </c>
      <c r="AE146" s="29" t="str">
        <f>IFERROR(__xludf.DUMMYFUNCTION("""COMPUTED_VALUE"""),"La mascotita está contigo  🐾🎉")</f>
        <v>La mascotita está contigo  🐾🎉</v>
      </c>
    </row>
    <row r="147" ht="15.75" customHeight="1">
      <c r="A147" s="28" t="s">
        <v>287</v>
      </c>
      <c r="C147" s="29" t="str">
        <f>IFERROR(__xludf.DUMMYFUNCTION("""COMPUTED_VALUE"""),"María Ángela Delgado Salas")</f>
        <v>María Ángela Delgado Salas</v>
      </c>
      <c r="E147" s="29" t="str">
        <f>IFERROR(__xludf.DUMMYFUNCTION("""COMPUTED_VALUE"""),"Pulsera de plata modelo 3 cabecitas con cadena")</f>
        <v>Pulsera de plata modelo 3 cabecitas con cadena</v>
      </c>
      <c r="G147" s="23"/>
      <c r="H147" s="23"/>
      <c r="I147" s="29" t="str">
        <f>IFERROR(__xludf.DUMMYFUNCTION("""COMPUTED_VALUE"""),"01")</f>
        <v>01</v>
      </c>
      <c r="K147" s="29" t="str">
        <f>IFERROR(__xludf.DUMMYFUNCTION("""COMPUTED_VALUE"""),"Sólo rostro")</f>
        <v>Sólo rostro</v>
      </c>
      <c r="L147" s="29" t="str">
        <f>IFERROR(__xludf.DUMMYFUNCTION("""COMPUTED_VALUE"""),"No")</f>
        <v>No</v>
      </c>
      <c r="M147" s="28"/>
      <c r="W147" s="29">
        <f>IFERROR(__xludf.DUMMYFUNCTION("""COMPUTED_VALUE"""),9.599515E8)</f>
        <v>959951500</v>
      </c>
      <c r="X147" s="29" t="str">
        <f>IFERROR(__xludf.DUMMYFUNCTION("""COMPUTED_VALUE"""),".")</f>
        <v>.</v>
      </c>
      <c r="Y147" s="29" t="str">
        <f>IFERROR(__xludf.DUMMYFUNCTION("""COMPUTED_VALUE"""),"María Ángela Delgado Salas - Cel. 959951500 - DNI. 29733761 - SHALOM MIRAFLORES AREQUIPA - AREQUIPA.")</f>
        <v>María Ángela Delgado Salas - Cel. 959951500 - DNI. 29733761 - SHALOM MIRAFLORES AREQUIPA - AREQUIPA.</v>
      </c>
      <c r="Z147" s="29" t="str">
        <f>IFERROR(__xludf.DUMMYFUNCTION("""COMPUTED_VALUE"""),"Para mi")</f>
        <v>Para mi</v>
      </c>
      <c r="AB147" s="30" t="str">
        <f>IFERROR(__xludf.DUMMYFUNCTION("""COMPUTED_VALUE"""),"Denisse")</f>
        <v>Denisse</v>
      </c>
      <c r="AD147" s="29" t="str">
        <f>IFERROR(__xludf.DUMMYFUNCTION("""COMPUTED_VALUE"""),".")</f>
        <v>.</v>
      </c>
      <c r="AE147" s="29" t="str">
        <f>IFERROR(__xludf.DUMMYFUNCTION("""COMPUTED_VALUE"""),"La mascotita está contigo  🐾🎉")</f>
        <v>La mascotita está contigo  🐾🎉</v>
      </c>
    </row>
    <row r="148" ht="15.75" customHeight="1">
      <c r="A148" s="28" t="s">
        <v>288</v>
      </c>
      <c r="C148" s="29" t="str">
        <f>IFERROR(__xludf.DUMMYFUNCTION("""COMPUTED_VALUE"""),"Lilian Mendoza")</f>
        <v>Lilian Mendoza</v>
      </c>
      <c r="E148" s="29" t="str">
        <f>IFERROR(__xludf.DUMMYFUNCTION("""COMPUTED_VALUE"""),"collar con silueta dos cabecitas")</f>
        <v>collar con silueta dos cabecitas</v>
      </c>
      <c r="G148" s="23"/>
      <c r="H148" s="23"/>
      <c r="I148" s="29">
        <f>IFERROR(__xludf.DUMMYFUNCTION("""COMPUTED_VALUE"""),1.0)</f>
        <v>1</v>
      </c>
      <c r="K148" s="29" t="str">
        <f>IFERROR(__xludf.DUMMYFUNCTION("""COMPUTED_VALUE"""),"Sí")</f>
        <v>Sí</v>
      </c>
      <c r="L148" s="29" t="str">
        <f>IFERROR(__xludf.DUMMYFUNCTION("""COMPUTED_VALUE"""),"¡Feliz cumpleaños, mami! Te amamos 20.04.26")</f>
        <v>¡Feliz cumpleaños, mami! Te amamos 20.04.26</v>
      </c>
      <c r="M148" s="28"/>
      <c r="W148" s="29">
        <f>IFERROR(__xludf.DUMMYFUNCTION("""COMPUTED_VALUE"""),9.93018401E8)</f>
        <v>993018401</v>
      </c>
      <c r="X148" s="29" t="str">
        <f>IFERROR(__xludf.DUMMYFUNCTION("""COMPUTED_VALUE"""),"No aplica")</f>
        <v>No aplica</v>
      </c>
      <c r="Y148" s="29" t="str">
        <f>IFERROR(__xludf.DUMMYFUNCTION("""COMPUTED_VALUE"""),"No aplica")</f>
        <v>No aplica</v>
      </c>
      <c r="Z148" s="29" t="str">
        <f>IFERROR(__xludf.DUMMYFUNCTION("""COMPUTED_VALUE"""),"familia")</f>
        <v>familia</v>
      </c>
      <c r="AB148" s="30" t="str">
        <f>IFERROR(__xludf.DUMMYFUNCTION("""COMPUTED_VALUE"""),"Linda")</f>
        <v>Linda</v>
      </c>
      <c r="AD148" s="29" t="str">
        <f>IFERROR(__xludf.DUMMYFUNCTION("""COMPUTED_VALUE"""),"Envié mi bosquejo a Linda")</f>
        <v>Envié mi bosquejo a Linda</v>
      </c>
      <c r="AE148" s="29" t="str">
        <f>IFERROR(__xludf.DUMMYFUNCTION("""COMPUTED_VALUE"""),"La mascotita ya está en el arcoiris 🌈🙏")</f>
        <v>La mascotita ya está en el arcoiris 🌈🙏</v>
      </c>
    </row>
    <row r="149" ht="15.75" customHeight="1">
      <c r="A149" s="28" t="s">
        <v>289</v>
      </c>
      <c r="C149" s="29" t="str">
        <f>IFERROR(__xludf.DUMMYFUNCTION("""COMPUTED_VALUE"""),"Diana Geller")</f>
        <v>Diana Geller</v>
      </c>
      <c r="E149" s="29" t="str">
        <f>IFERROR(__xludf.DUMMYFUNCTION("""COMPUTED_VALUE"""),"P08 Pulsera con cadena s/169")</f>
        <v>P08 Pulsera con cadena s/169</v>
      </c>
      <c r="G149" s="23"/>
      <c r="H149" s="23"/>
      <c r="I149" s="29">
        <f>IFERROR(__xludf.DUMMYFUNCTION("""COMPUTED_VALUE"""),1.0)</f>
        <v>1</v>
      </c>
      <c r="K149" s="29" t="str">
        <f>IFERROR(__xludf.DUMMYFUNCTION("""COMPUTED_VALUE"""),"Si una cruz")</f>
        <v>Si una cruz</v>
      </c>
      <c r="L149" s="29" t="str">
        <f>IFERROR(__xludf.DUMMYFUNCTION("""COMPUTED_VALUE"""),"Si palabra Fe")</f>
        <v>Si palabra Fe</v>
      </c>
      <c r="M149" s="28"/>
      <c r="W149" s="29">
        <f>IFERROR(__xludf.DUMMYFUNCTION("""COMPUTED_VALUE"""),9.69946919E8)</f>
        <v>969946919</v>
      </c>
      <c r="X149" s="29" t="str">
        <f>IFERROR(__xludf.DUMMYFUNCTION("""COMPUTED_VALUE"""),"Por confirmar")</f>
        <v>Por confirmar</v>
      </c>
      <c r="Y149" s="29" t="str">
        <f>IFERROR(__xludf.DUMMYFUNCTION("""COMPUTED_VALUE"""),"No aplica")</f>
        <v>No aplica</v>
      </c>
      <c r="Z149" s="29" t="str">
        <f>IFERROR(__xludf.DUMMYFUNCTION("""COMPUTED_VALUE"""),"Regalo amiga")</f>
        <v>Regalo amiga</v>
      </c>
      <c r="AB149" s="30" t="str">
        <f>IFERROR(__xludf.DUMMYFUNCTION("""COMPUTED_VALUE"""),"Sandra")</f>
        <v>Sandra</v>
      </c>
      <c r="AD149" s="29" t="str">
        <f>IFERROR(__xludf.DUMMYFUNCTION("""COMPUTED_VALUE"""),"La talla de pulsera Sería de 16 a 18 cm")</f>
        <v>La talla de pulsera Sería de 16 a 18 cm</v>
      </c>
      <c r="AE149" s="29" t="str">
        <f>IFERROR(__xludf.DUMMYFUNCTION("""COMPUTED_VALUE"""),"No es de mascotita")</f>
        <v>No es de mascotita</v>
      </c>
    </row>
    <row r="150" ht="15.75" customHeight="1">
      <c r="A150" s="28" t="s">
        <v>290</v>
      </c>
      <c r="C150" s="29" t="str">
        <f>IFERROR(__xludf.DUMMYFUNCTION("""COMPUTED_VALUE"""),"Jose Antonio Muñoz Ramírez ")</f>
        <v>Jose Antonio Muñoz Ramírez </v>
      </c>
      <c r="E150" s="29" t="str">
        <f>IFERROR(__xludf.DUMMYFUNCTION("""COMPUTED_VALUE"""),"Otro: Collar dije 2cm de acero dorado")</f>
        <v>Otro: Collar dije 2cm de acero dorado</v>
      </c>
      <c r="G150" s="23"/>
      <c r="H150" s="23"/>
      <c r="I150" s="29">
        <f>IFERROR(__xludf.DUMMYFUNCTION("""COMPUTED_VALUE"""),1.0)</f>
        <v>1</v>
      </c>
      <c r="K150" s="29" t="str">
        <f>IFERROR(__xludf.DUMMYFUNCTION("""COMPUTED_VALUE"""),"Si")</f>
        <v>Si</v>
      </c>
      <c r="L150" s="29" t="str">
        <f>IFERROR(__xludf.DUMMYFUNCTION("""COMPUTED_VALUE"""),"Si")</f>
        <v>Si</v>
      </c>
      <c r="M150" s="28"/>
      <c r="W150" s="29">
        <f>IFERROR(__xludf.DUMMYFUNCTION("""COMPUTED_VALUE"""),9.60580998E8)</f>
        <v>960580998</v>
      </c>
      <c r="X150" s="29" t="str">
        <f>IFERROR(__xludf.DUMMYFUNCTION("""COMPUTED_VALUE"""),"No")</f>
        <v>No</v>
      </c>
      <c r="Y150" s="29" t="str">
        <f>IFERROR(__xludf.DUMMYFUNCTION("""COMPUTED_VALUE"""),"No")</f>
        <v>No</v>
      </c>
      <c r="Z150" s="29" t="str">
        <f>IFERROR(__xludf.DUMMYFUNCTION("""COMPUTED_VALUE"""),"Para mi")</f>
        <v>Para mi</v>
      </c>
      <c r="AB150" s="30" t="str">
        <f>IFERROR(__xludf.DUMMYFUNCTION("""COMPUTED_VALUE"""),"Sandra")</f>
        <v>Sandra</v>
      </c>
      <c r="AD150" s="29" t="str">
        <f>IFERROR(__xludf.DUMMYFUNCTION("""COMPUTED_VALUE"""),"Nada mas")</f>
        <v>Nada mas</v>
      </c>
      <c r="AE150" s="29"/>
    </row>
    <row r="151" ht="15.75" customHeight="1">
      <c r="A151" s="28" t="s">
        <v>291</v>
      </c>
      <c r="C151" s="29" t="str">
        <f>IFERROR(__xludf.DUMMYFUNCTION("""COMPUTED_VALUE"""),"Mirtha Lucero Mendez Leaño")</f>
        <v>Mirtha Lucero Mendez Leaño</v>
      </c>
      <c r="E151" s="29" t="str">
        <f>IFERROR(__xludf.DUMMYFUNCTION("""COMPUTED_VALUE"""),"Collar Sofìa")</f>
        <v>Collar Sofìa</v>
      </c>
      <c r="G151" s="23"/>
      <c r="H151" s="23"/>
      <c r="I151" s="29">
        <f>IFERROR(__xludf.DUMMYFUNCTION("""COMPUTED_VALUE"""),1.0)</f>
        <v>1</v>
      </c>
      <c r="K151" s="29" t="str">
        <f>IFERROR(__xludf.DUMMYFUNCTION("""COMPUTED_VALUE"""),"no")</f>
        <v>no</v>
      </c>
      <c r="L151" s="29" t="str">
        <f>IFERROR(__xludf.DUMMYFUNCTION("""COMPUTED_VALUE"""),".")</f>
        <v>.</v>
      </c>
      <c r="M151" s="28"/>
      <c r="W151" s="29">
        <f>IFERROR(__xludf.DUMMYFUNCTION("""COMPUTED_VALUE"""),9.42761722E8)</f>
        <v>942761722</v>
      </c>
      <c r="X151" s="29" t="str">
        <f>IFERROR(__xludf.DUMMYFUNCTION("""COMPUTED_VALUE"""),"no")</f>
        <v>no</v>
      </c>
      <c r="Y151" s="29" t="str">
        <f>IFERROR(__xludf.DUMMYFUNCTION("""COMPUTED_VALUE"""),"no")</f>
        <v>no</v>
      </c>
      <c r="Z151" s="29" t="str">
        <f>IFERROR(__xludf.DUMMYFUNCTION("""COMPUTED_VALUE"""),"Para mi mamà")</f>
        <v>Para mi mamà</v>
      </c>
      <c r="AB151" s="30" t="str">
        <f>IFERROR(__xludf.DUMMYFUNCTION("""COMPUTED_VALUE"""),"Sandra")</f>
        <v>Sandra</v>
      </c>
      <c r="AD151" s="29" t="str">
        <f>IFERROR(__xludf.DUMMYFUNCTION("""COMPUTED_VALUE"""),"no")</f>
        <v>no</v>
      </c>
      <c r="AE151" s="29"/>
    </row>
    <row r="152" ht="15.75" customHeight="1">
      <c r="A152" s="28" t="s">
        <v>292</v>
      </c>
      <c r="C152" s="29" t="str">
        <f>IFERROR(__xludf.DUMMYFUNCTION("""COMPUTED_VALUE"""),"Jose Antonio Muñoz Ramírez ")</f>
        <v>Jose Antonio Muñoz Ramírez </v>
      </c>
      <c r="E152" s="29" t="str">
        <f>IFERROR(__xludf.DUMMYFUNCTION("""COMPUTED_VALUE"""),"Collar dije 2cm de acero dorado")</f>
        <v>Collar dije 2cm de acero dorado</v>
      </c>
      <c r="G152" s="23"/>
      <c r="H152" s="23"/>
      <c r="I152" s="29">
        <f>IFERROR(__xludf.DUMMYFUNCTION("""COMPUTED_VALUE"""),1.0)</f>
        <v>1</v>
      </c>
      <c r="K152" s="29" t="str">
        <f>IFERROR(__xludf.DUMMYFUNCTION("""COMPUTED_VALUE"""),"Si")</f>
        <v>Si</v>
      </c>
      <c r="L152" s="29" t="str">
        <f>IFERROR(__xludf.DUMMYFUNCTION("""COMPUTED_VALUE"""),"Argos")</f>
        <v>Argos</v>
      </c>
      <c r="M152" s="28"/>
      <c r="W152" s="29">
        <f>IFERROR(__xludf.DUMMYFUNCTION("""COMPUTED_VALUE"""),9.60580998E8)</f>
        <v>960580998</v>
      </c>
      <c r="X152" s="29" t="str">
        <f>IFERROR(__xludf.DUMMYFUNCTION("""COMPUTED_VALUE"""),"xx")</f>
        <v>xx</v>
      </c>
      <c r="Y152" s="29" t="str">
        <f>IFERROR(__xludf.DUMMYFUNCTION("""COMPUTED_VALUE"""),"xx")</f>
        <v>xx</v>
      </c>
      <c r="Z152" s="29" t="str">
        <f>IFERROR(__xludf.DUMMYFUNCTION("""COMPUTED_VALUE"""),"Para mi")</f>
        <v>Para mi</v>
      </c>
      <c r="AB152" s="30" t="str">
        <f>IFERROR(__xludf.DUMMYFUNCTION("""COMPUTED_VALUE"""),"Sandra")</f>
        <v>Sandra</v>
      </c>
      <c r="AD152" s="29" t="str">
        <f>IFERROR(__xludf.DUMMYFUNCTION("""COMPUTED_VALUE"""),"xx")</f>
        <v>xx</v>
      </c>
      <c r="AE152" s="29"/>
    </row>
    <row r="153" ht="15.75" customHeight="1">
      <c r="A153" s="28" t="s">
        <v>293</v>
      </c>
      <c r="C153" s="29" t="str">
        <f>IFERROR(__xludf.DUMMYFUNCTION("""COMPUTED_VALUE"""),"Jose Antonio Muñoz Ramírez ")</f>
        <v>Jose Antonio Muñoz Ramírez </v>
      </c>
      <c r="E153" s="29" t="str">
        <f>IFERROR(__xludf.DUMMYFUNCTION("""COMPUTED_VALUE"""),"Collar dije 2.5 cm de acero dorado")</f>
        <v>Collar dije 2.5 cm de acero dorado</v>
      </c>
      <c r="G153" s="23"/>
      <c r="H153" s="23"/>
      <c r="I153" s="29">
        <f>IFERROR(__xludf.DUMMYFUNCTION("""COMPUTED_VALUE"""),1.0)</f>
        <v>1</v>
      </c>
      <c r="K153" s="29" t="str">
        <f>IFERROR(__xludf.DUMMYFUNCTION("""COMPUTED_VALUE"""),"si")</f>
        <v>si</v>
      </c>
      <c r="L153" s="29" t="str">
        <f>IFERROR(__xludf.DUMMYFUNCTION("""COMPUTED_VALUE"""),"Marianne , Ana Rosa, José Antonio")</f>
        <v>Marianne , Ana Rosa, José Antonio</v>
      </c>
      <c r="M153" s="28"/>
      <c r="W153" s="29">
        <f>IFERROR(__xludf.DUMMYFUNCTION("""COMPUTED_VALUE"""),9.60580998E8)</f>
        <v>960580998</v>
      </c>
      <c r="X153" s="29" t="str">
        <f>IFERROR(__xludf.DUMMYFUNCTION("""COMPUTED_VALUE"""),"xx")</f>
        <v>xx</v>
      </c>
      <c r="Y153" s="29" t="str">
        <f>IFERROR(__xludf.DUMMYFUNCTION("""COMPUTED_VALUE"""),"xx")</f>
        <v>xx</v>
      </c>
      <c r="Z153" s="29" t="str">
        <f>IFERROR(__xludf.DUMMYFUNCTION("""COMPUTED_VALUE"""),"Para mi")</f>
        <v>Para mi</v>
      </c>
      <c r="AB153" s="30" t="str">
        <f>IFERROR(__xludf.DUMMYFUNCTION("""COMPUTED_VALUE"""),"Sandra")</f>
        <v>Sandra</v>
      </c>
      <c r="AD153" s="29" t="str">
        <f>IFERROR(__xludf.DUMMYFUNCTION("""COMPUTED_VALUE"""),"xx")</f>
        <v>xx</v>
      </c>
      <c r="AE153" s="29"/>
    </row>
    <row r="154" ht="15.75" customHeight="1">
      <c r="A154" s="28" t="s">
        <v>294</v>
      </c>
      <c r="C154" s="29" t="str">
        <f>IFERROR(__xludf.DUMMYFUNCTION("""COMPUTED_VALUE"""),"Gladys")</f>
        <v>Gladys</v>
      </c>
      <c r="E154" s="29" t="str">
        <f>IFERROR(__xludf.DUMMYFUNCTION("""COMPUTED_VALUE"""),"Nombre Karla, colocar dos corazones al costado")</f>
        <v>Nombre Karla, colocar dos corazones al costado</v>
      </c>
      <c r="G154" s="23"/>
      <c r="H154" s="23"/>
      <c r="I154" s="29">
        <f>IFERROR(__xludf.DUMMYFUNCTION("""COMPUTED_VALUE"""),1.0)</f>
        <v>1</v>
      </c>
      <c r="K154" s="29" t="str">
        <f>IFERROR(__xludf.DUMMYFUNCTION("""COMPUTED_VALUE"""),"xxx")</f>
        <v>xxx</v>
      </c>
      <c r="L154" s="29" t="str">
        <f>IFERROR(__xludf.DUMMYFUNCTION("""COMPUTED_VALUE"""),"Lía")</f>
        <v>Lía</v>
      </c>
      <c r="M154" s="28"/>
      <c r="W154" s="29" t="str">
        <f>IFERROR(__xludf.DUMMYFUNCTION("""COMPUTED_VALUE"""),"xx")</f>
        <v>xx</v>
      </c>
      <c r="X154" s="29" t="str">
        <f>IFERROR(__xludf.DUMMYFUNCTION("""COMPUTED_VALUE"""),"XX")</f>
        <v>XX</v>
      </c>
      <c r="Y154" s="29" t="str">
        <f>IFERROR(__xludf.DUMMYFUNCTION("""COMPUTED_VALUE"""),"XX")</f>
        <v>XX</v>
      </c>
      <c r="Z154" s="29" t="str">
        <f>IFERROR(__xludf.DUMMYFUNCTION("""COMPUTED_VALUE"""),"Para mi")</f>
        <v>Para mi</v>
      </c>
      <c r="AB154" s="30" t="str">
        <f>IFERROR(__xludf.DUMMYFUNCTION("""COMPUTED_VALUE"""),"Sandra")</f>
        <v>Sandra</v>
      </c>
      <c r="AD154" s="29" t="str">
        <f>IFERROR(__xludf.DUMMYFUNCTION("""COMPUTED_VALUE"""),"xx")</f>
        <v>xx</v>
      </c>
      <c r="AE154" s="29"/>
    </row>
    <row r="155" ht="15.75" customHeight="1">
      <c r="A155" s="28" t="s">
        <v>295</v>
      </c>
      <c r="C155" s="29"/>
      <c r="E155" s="29"/>
      <c r="G155" s="23"/>
      <c r="H155" s="23"/>
      <c r="I155" s="29"/>
      <c r="K155" s="29"/>
      <c r="L155" s="29"/>
      <c r="M155" s="28"/>
      <c r="W155" s="29"/>
      <c r="X155" s="29"/>
      <c r="Y155" s="29"/>
      <c r="Z155" s="29"/>
      <c r="AB155" s="30"/>
      <c r="AD155" s="29"/>
      <c r="AE155" s="29"/>
    </row>
    <row r="156" ht="15.75" customHeight="1">
      <c r="A156" s="28" t="s">
        <v>296</v>
      </c>
      <c r="C156" s="29"/>
      <c r="E156" s="29"/>
      <c r="G156" s="23"/>
      <c r="H156" s="23"/>
      <c r="I156" s="29"/>
      <c r="K156" s="29"/>
      <c r="L156" s="29"/>
      <c r="M156" s="28"/>
      <c r="W156" s="29"/>
      <c r="X156" s="29"/>
      <c r="Y156" s="29"/>
      <c r="Z156" s="29"/>
      <c r="AB156" s="30"/>
      <c r="AD156" s="29"/>
      <c r="AE156" s="29"/>
    </row>
    <row r="157" ht="15.75" customHeight="1">
      <c r="A157" s="28" t="s">
        <v>297</v>
      </c>
      <c r="C157" s="29"/>
      <c r="E157" s="29"/>
      <c r="G157" s="23"/>
      <c r="H157" s="23"/>
      <c r="I157" s="29"/>
      <c r="K157" s="29"/>
      <c r="L157" s="29"/>
      <c r="M157" s="28"/>
      <c r="W157" s="29"/>
      <c r="X157" s="29"/>
      <c r="Y157" s="29"/>
      <c r="Z157" s="29"/>
      <c r="AB157" s="30"/>
      <c r="AD157" s="29"/>
      <c r="AE157" s="29"/>
    </row>
    <row r="158" ht="15.75" customHeight="1">
      <c r="A158" s="28" t="s">
        <v>298</v>
      </c>
      <c r="C158" s="29"/>
      <c r="E158" s="29"/>
      <c r="F158" s="23"/>
      <c r="G158" s="23"/>
      <c r="H158" s="23"/>
      <c r="I158" s="29"/>
      <c r="K158" s="29"/>
      <c r="L158" s="29"/>
      <c r="M158" s="28"/>
      <c r="W158" s="29"/>
      <c r="X158" s="29"/>
      <c r="Y158" s="29"/>
      <c r="Z158" s="29"/>
      <c r="AB158" s="30"/>
      <c r="AD158" s="29"/>
      <c r="AE158" s="29"/>
    </row>
    <row r="159" ht="15.75" customHeight="1">
      <c r="A159" s="28" t="s">
        <v>299</v>
      </c>
      <c r="C159" s="29"/>
      <c r="E159" s="29"/>
      <c r="F159" s="23"/>
      <c r="G159" s="23"/>
      <c r="H159" s="23"/>
      <c r="I159" s="29"/>
      <c r="K159" s="29"/>
      <c r="L159" s="29"/>
      <c r="M159" s="28"/>
      <c r="W159" s="29"/>
      <c r="X159" s="29"/>
      <c r="Y159" s="29"/>
      <c r="Z159" s="29"/>
      <c r="AB159" s="30"/>
      <c r="AD159" s="29"/>
      <c r="AE159" s="29"/>
    </row>
    <row r="160" ht="15.75" customHeight="1">
      <c r="A160" s="28" t="s">
        <v>300</v>
      </c>
      <c r="C160" s="29"/>
      <c r="E160" s="29"/>
      <c r="F160" s="23"/>
      <c r="G160" s="23"/>
      <c r="H160" s="23"/>
      <c r="I160" s="29"/>
      <c r="K160" s="29"/>
      <c r="L160" s="29"/>
      <c r="M160" s="28"/>
      <c r="W160" s="29"/>
      <c r="X160" s="29"/>
      <c r="Y160" s="29"/>
      <c r="Z160" s="29"/>
      <c r="AB160" s="30"/>
      <c r="AD160" s="29"/>
      <c r="AE160" s="29"/>
    </row>
    <row r="161" ht="15.75" customHeight="1">
      <c r="A161" s="28" t="s">
        <v>301</v>
      </c>
      <c r="C161" s="29"/>
      <c r="E161" s="29"/>
      <c r="F161" s="23"/>
      <c r="G161" s="23"/>
      <c r="H161" s="23"/>
      <c r="I161" s="29"/>
      <c r="K161" s="29"/>
      <c r="L161" s="29"/>
      <c r="M161" s="28"/>
      <c r="W161" s="29"/>
      <c r="X161" s="29"/>
      <c r="Y161" s="29"/>
      <c r="Z161" s="29"/>
      <c r="AB161" s="30"/>
      <c r="AD161" s="29"/>
      <c r="AE161" s="29"/>
    </row>
    <row r="162" ht="15.75" customHeight="1">
      <c r="A162" s="28" t="s">
        <v>302</v>
      </c>
      <c r="C162" s="29"/>
      <c r="E162" s="29"/>
      <c r="F162" s="23"/>
      <c r="G162" s="23"/>
      <c r="H162" s="23"/>
      <c r="I162" s="29"/>
      <c r="K162" s="29"/>
      <c r="L162" s="29"/>
      <c r="M162" s="28"/>
      <c r="W162" s="29"/>
      <c r="X162" s="29"/>
      <c r="Y162" s="29"/>
      <c r="Z162" s="29"/>
      <c r="AB162" s="30"/>
      <c r="AD162" s="29"/>
      <c r="AE162" s="29"/>
    </row>
    <row r="163" ht="15.75" customHeight="1">
      <c r="A163" s="28" t="s">
        <v>303</v>
      </c>
      <c r="C163" s="29"/>
      <c r="E163" s="29"/>
      <c r="F163" s="23"/>
      <c r="G163" s="23"/>
      <c r="H163" s="23"/>
      <c r="I163" s="29"/>
      <c r="K163" s="29"/>
      <c r="L163" s="29"/>
      <c r="M163" s="28"/>
      <c r="W163" s="29"/>
      <c r="X163" s="29"/>
      <c r="Y163" s="29"/>
      <c r="Z163" s="29"/>
      <c r="AB163" s="30"/>
      <c r="AD163" s="29"/>
      <c r="AE163" s="29"/>
    </row>
    <row r="164" ht="15.75" customHeight="1">
      <c r="A164" s="28" t="s">
        <v>304</v>
      </c>
      <c r="C164" s="29"/>
      <c r="E164" s="29"/>
      <c r="F164" s="23"/>
      <c r="G164" s="23"/>
      <c r="H164" s="23"/>
      <c r="I164" s="29"/>
      <c r="K164" s="29"/>
      <c r="L164" s="29"/>
      <c r="M164" s="28"/>
      <c r="W164" s="29"/>
      <c r="X164" s="29"/>
      <c r="Y164" s="29"/>
      <c r="Z164" s="29"/>
      <c r="AB164" s="30"/>
      <c r="AD164" s="29"/>
      <c r="AE164" s="29"/>
    </row>
    <row r="165" ht="15.75" customHeight="1">
      <c r="A165" s="28" t="s">
        <v>305</v>
      </c>
      <c r="C165" s="29"/>
      <c r="E165" s="29"/>
      <c r="F165" s="23"/>
      <c r="G165" s="23"/>
      <c r="H165" s="23"/>
      <c r="I165" s="29"/>
      <c r="K165" s="29"/>
      <c r="L165" s="29"/>
      <c r="M165" s="28"/>
      <c r="W165" s="29"/>
      <c r="X165" s="29"/>
      <c r="Y165" s="29"/>
      <c r="Z165" s="29"/>
      <c r="AB165" s="30"/>
      <c r="AD165" s="29"/>
      <c r="AE165" s="29"/>
    </row>
    <row r="166" ht="15.75" customHeight="1">
      <c r="A166" s="28" t="s">
        <v>306</v>
      </c>
      <c r="C166" s="29"/>
      <c r="E166" s="29"/>
      <c r="F166" s="23"/>
      <c r="G166" s="23"/>
      <c r="H166" s="23"/>
      <c r="I166" s="29"/>
      <c r="K166" s="29"/>
      <c r="L166" s="29"/>
      <c r="M166" s="28"/>
      <c r="W166" s="29"/>
      <c r="X166" s="29"/>
      <c r="Y166" s="29"/>
      <c r="Z166" s="29"/>
      <c r="AB166" s="30"/>
      <c r="AD166" s="29"/>
      <c r="AE166" s="29"/>
    </row>
    <row r="167" ht="15.75" customHeight="1">
      <c r="A167" s="28" t="s">
        <v>307</v>
      </c>
      <c r="C167" s="29"/>
      <c r="E167" s="29"/>
      <c r="F167" s="23"/>
      <c r="G167" s="23"/>
      <c r="H167" s="23"/>
      <c r="I167" s="29"/>
      <c r="K167" s="29"/>
      <c r="L167" s="29"/>
      <c r="M167" s="28"/>
      <c r="W167" s="29"/>
      <c r="X167" s="29"/>
      <c r="Y167" s="29"/>
      <c r="Z167" s="29"/>
      <c r="AB167" s="30"/>
      <c r="AD167" s="29"/>
      <c r="AE167" s="29"/>
    </row>
    <row r="168" ht="15.75" customHeight="1">
      <c r="A168" s="28" t="s">
        <v>308</v>
      </c>
      <c r="C168" s="29"/>
      <c r="E168" s="29"/>
      <c r="F168" s="23"/>
      <c r="G168" s="23"/>
      <c r="H168" s="23"/>
      <c r="I168" s="29"/>
      <c r="K168" s="29"/>
      <c r="L168" s="29"/>
      <c r="M168" s="28"/>
      <c r="W168" s="29"/>
      <c r="X168" s="29"/>
      <c r="Y168" s="29"/>
      <c r="Z168" s="29"/>
      <c r="AB168" s="30"/>
      <c r="AD168" s="29"/>
      <c r="AE168" s="29"/>
    </row>
    <row r="169" ht="15.75" customHeight="1">
      <c r="A169" s="28" t="s">
        <v>309</v>
      </c>
      <c r="C169" s="29"/>
      <c r="E169" s="29"/>
      <c r="F169" s="23"/>
      <c r="G169" s="23"/>
      <c r="H169" s="23"/>
      <c r="I169" s="29"/>
      <c r="K169" s="29"/>
      <c r="L169" s="29"/>
      <c r="M169" s="28"/>
      <c r="W169" s="29"/>
      <c r="X169" s="29"/>
      <c r="Y169" s="29"/>
      <c r="Z169" s="29"/>
      <c r="AB169" s="30"/>
      <c r="AD169" s="29"/>
      <c r="AE169" s="29"/>
    </row>
    <row r="170" ht="15.75" customHeight="1">
      <c r="A170" s="28" t="s">
        <v>310</v>
      </c>
      <c r="C170" s="29"/>
      <c r="E170" s="29"/>
      <c r="F170" s="23"/>
      <c r="G170" s="23"/>
      <c r="H170" s="23"/>
      <c r="I170" s="29"/>
      <c r="K170" s="29"/>
      <c r="L170" s="29"/>
      <c r="M170" s="28"/>
      <c r="W170" s="29"/>
      <c r="X170" s="29"/>
      <c r="Y170" s="29"/>
      <c r="Z170" s="29"/>
      <c r="AB170" s="30"/>
      <c r="AD170" s="29"/>
      <c r="AE170" s="29"/>
    </row>
    <row r="171" ht="15.75" customHeight="1">
      <c r="A171" s="28" t="s">
        <v>311</v>
      </c>
      <c r="C171" s="29"/>
      <c r="E171" s="29"/>
      <c r="F171" s="23"/>
      <c r="G171" s="23"/>
      <c r="H171" s="23"/>
      <c r="I171" s="29"/>
      <c r="K171" s="29"/>
      <c r="L171" s="29"/>
      <c r="M171" s="28"/>
      <c r="W171" s="29"/>
      <c r="X171" s="29"/>
      <c r="Y171" s="29"/>
      <c r="Z171" s="29"/>
      <c r="AB171" s="30"/>
      <c r="AD171" s="29"/>
      <c r="AE171" s="29"/>
    </row>
    <row r="172" ht="15.75" customHeight="1">
      <c r="A172" s="28" t="s">
        <v>312</v>
      </c>
      <c r="C172" s="29"/>
      <c r="E172" s="29"/>
      <c r="F172" s="23"/>
      <c r="G172" s="23"/>
      <c r="H172" s="23"/>
      <c r="I172" s="29"/>
      <c r="K172" s="29"/>
      <c r="L172" s="29"/>
      <c r="M172" s="28"/>
      <c r="W172" s="29"/>
      <c r="X172" s="29"/>
      <c r="Y172" s="29"/>
      <c r="Z172" s="29"/>
      <c r="AB172" s="30"/>
      <c r="AD172" s="29"/>
      <c r="AE172" s="29"/>
    </row>
    <row r="173" ht="15.75" customHeight="1">
      <c r="A173" s="28" t="s">
        <v>313</v>
      </c>
      <c r="C173" s="29"/>
      <c r="E173" s="29"/>
      <c r="F173" s="23"/>
      <c r="G173" s="23"/>
      <c r="H173" s="23"/>
      <c r="I173" s="29"/>
      <c r="K173" s="29"/>
      <c r="L173" s="29"/>
      <c r="M173" s="28"/>
      <c r="W173" s="29"/>
      <c r="X173" s="29"/>
      <c r="Y173" s="29"/>
      <c r="Z173" s="29"/>
      <c r="AB173" s="30"/>
      <c r="AD173" s="29"/>
      <c r="AE173" s="29"/>
    </row>
    <row r="174" ht="15.75" customHeight="1">
      <c r="A174" s="28" t="s">
        <v>314</v>
      </c>
      <c r="C174" s="29"/>
      <c r="E174" s="29"/>
      <c r="F174" s="23"/>
      <c r="G174" s="23"/>
      <c r="H174" s="23"/>
      <c r="I174" s="29"/>
      <c r="K174" s="29"/>
      <c r="L174" s="29"/>
      <c r="M174" s="28"/>
      <c r="W174" s="29"/>
      <c r="X174" s="29"/>
      <c r="Y174" s="29"/>
      <c r="Z174" s="29"/>
      <c r="AB174" s="30"/>
      <c r="AD174" s="29"/>
      <c r="AE174" s="29"/>
    </row>
    <row r="175" ht="15.75" customHeight="1">
      <c r="A175" s="28" t="s">
        <v>315</v>
      </c>
      <c r="C175" s="29"/>
      <c r="E175" s="29"/>
      <c r="F175" s="23"/>
      <c r="G175" s="23"/>
      <c r="H175" s="23"/>
      <c r="I175" s="29"/>
      <c r="K175" s="29"/>
      <c r="L175" s="29"/>
      <c r="M175" s="28"/>
      <c r="W175" s="29"/>
      <c r="X175" s="29"/>
      <c r="Y175" s="29"/>
      <c r="Z175" s="29"/>
      <c r="AB175" s="30"/>
      <c r="AD175" s="29"/>
      <c r="AE175" s="29"/>
    </row>
    <row r="176" ht="15.75" customHeight="1">
      <c r="A176" s="28" t="s">
        <v>316</v>
      </c>
      <c r="C176" s="29"/>
      <c r="E176" s="29"/>
      <c r="F176" s="23"/>
      <c r="G176" s="23"/>
      <c r="H176" s="23"/>
      <c r="I176" s="29"/>
      <c r="K176" s="29"/>
      <c r="L176" s="29"/>
      <c r="M176" s="28"/>
      <c r="W176" s="29"/>
      <c r="X176" s="29"/>
      <c r="Y176" s="29"/>
      <c r="Z176" s="29"/>
      <c r="AB176" s="30"/>
      <c r="AD176" s="29"/>
      <c r="AE176" s="29"/>
    </row>
    <row r="177" ht="15.75" customHeight="1">
      <c r="A177" s="28" t="s">
        <v>317</v>
      </c>
      <c r="C177" s="29"/>
      <c r="E177" s="29"/>
      <c r="F177" s="23"/>
      <c r="G177" s="23"/>
      <c r="H177" s="23"/>
      <c r="I177" s="29"/>
      <c r="K177" s="29"/>
      <c r="L177" s="29"/>
      <c r="M177" s="28"/>
      <c r="W177" s="29"/>
      <c r="X177" s="29"/>
      <c r="Y177" s="29"/>
      <c r="Z177" s="29"/>
      <c r="AB177" s="30"/>
      <c r="AD177" s="29"/>
      <c r="AE177" s="29"/>
    </row>
    <row r="178" ht="15.75" customHeight="1">
      <c r="A178" s="28" t="s">
        <v>318</v>
      </c>
      <c r="C178" s="29"/>
      <c r="E178" s="29"/>
      <c r="F178" s="23"/>
      <c r="G178" s="23"/>
      <c r="H178" s="23"/>
      <c r="I178" s="29"/>
      <c r="K178" s="29"/>
      <c r="L178" s="29"/>
      <c r="M178" s="28"/>
      <c r="W178" s="29"/>
      <c r="X178" s="29"/>
      <c r="Y178" s="29"/>
      <c r="Z178" s="29"/>
      <c r="AB178" s="30"/>
      <c r="AD178" s="29"/>
      <c r="AE178" s="29"/>
    </row>
    <row r="179" ht="15.75" customHeight="1">
      <c r="A179" s="28" t="s">
        <v>319</v>
      </c>
      <c r="C179" s="29"/>
      <c r="E179" s="29"/>
      <c r="F179" s="23"/>
      <c r="G179" s="23"/>
      <c r="H179" s="23"/>
      <c r="I179" s="29"/>
      <c r="K179" s="29"/>
      <c r="L179" s="29"/>
      <c r="M179" s="28"/>
      <c r="W179" s="29"/>
      <c r="X179" s="29"/>
      <c r="Y179" s="29"/>
      <c r="Z179" s="29"/>
      <c r="AB179" s="30"/>
      <c r="AD179" s="29"/>
      <c r="AE179" s="29"/>
    </row>
    <row r="180" ht="15.75" customHeight="1">
      <c r="A180" s="28" t="s">
        <v>320</v>
      </c>
      <c r="C180" s="29"/>
      <c r="E180" s="29"/>
      <c r="F180" s="23"/>
      <c r="G180" s="23"/>
      <c r="H180" s="23"/>
      <c r="I180" s="29"/>
      <c r="K180" s="29"/>
      <c r="L180" s="29"/>
      <c r="M180" s="28"/>
      <c r="W180" s="29"/>
      <c r="X180" s="29"/>
      <c r="Y180" s="29"/>
      <c r="Z180" s="29"/>
      <c r="AB180" s="30"/>
      <c r="AD180" s="29"/>
      <c r="AE180" s="29"/>
    </row>
    <row r="181" ht="15.75" customHeight="1">
      <c r="A181" s="28" t="s">
        <v>321</v>
      </c>
      <c r="C181" s="29"/>
      <c r="E181" s="29"/>
      <c r="F181" s="23"/>
      <c r="G181" s="23"/>
      <c r="H181" s="23"/>
      <c r="I181" s="29"/>
      <c r="K181" s="29"/>
      <c r="L181" s="29"/>
      <c r="M181" s="28"/>
      <c r="W181" s="29"/>
      <c r="X181" s="29"/>
      <c r="Y181" s="29"/>
      <c r="Z181" s="29"/>
      <c r="AB181" s="30"/>
      <c r="AD181" s="29"/>
      <c r="AE181" s="29"/>
    </row>
    <row r="182" ht="15.75" customHeight="1">
      <c r="A182" s="28" t="s">
        <v>322</v>
      </c>
      <c r="C182" s="29"/>
      <c r="E182" s="29"/>
      <c r="F182" s="23"/>
      <c r="G182" s="23"/>
      <c r="H182" s="23"/>
      <c r="I182" s="29"/>
      <c r="K182" s="29"/>
      <c r="L182" s="29"/>
      <c r="M182" s="28"/>
      <c r="W182" s="29"/>
      <c r="X182" s="29"/>
      <c r="Y182" s="29"/>
      <c r="Z182" s="29"/>
      <c r="AB182" s="30"/>
      <c r="AD182" s="29"/>
      <c r="AE182" s="29"/>
    </row>
    <row r="183" ht="15.75" customHeight="1">
      <c r="A183" s="28" t="s">
        <v>323</v>
      </c>
      <c r="C183" s="29"/>
      <c r="E183" s="29"/>
      <c r="F183" s="23"/>
      <c r="G183" s="23"/>
      <c r="H183" s="23"/>
      <c r="I183" s="29"/>
      <c r="K183" s="29"/>
      <c r="L183" s="29"/>
      <c r="W183" s="29"/>
      <c r="X183" s="29"/>
      <c r="Y183" s="29"/>
      <c r="Z183" s="29"/>
      <c r="AB183" s="30"/>
      <c r="AD183" s="29"/>
      <c r="AE183" s="29"/>
    </row>
    <row r="184" ht="15.75" customHeight="1">
      <c r="A184" s="28" t="s">
        <v>324</v>
      </c>
      <c r="C184" s="29"/>
      <c r="E184" s="29"/>
      <c r="F184" s="23"/>
      <c r="G184" s="23"/>
      <c r="H184" s="23"/>
      <c r="I184" s="29"/>
      <c r="K184" s="29"/>
      <c r="L184" s="29"/>
      <c r="W184" s="29"/>
      <c r="X184" s="29"/>
      <c r="Y184" s="29"/>
      <c r="Z184" s="29"/>
      <c r="AB184" s="30"/>
      <c r="AD184" s="29"/>
      <c r="AE184" s="29"/>
    </row>
    <row r="185" ht="15.75" customHeight="1">
      <c r="A185" s="28" t="s">
        <v>325</v>
      </c>
      <c r="C185" s="29"/>
      <c r="E185" s="29"/>
      <c r="F185" s="23"/>
      <c r="G185" s="23"/>
      <c r="H185" s="23"/>
      <c r="I185" s="29"/>
      <c r="K185" s="29"/>
      <c r="L185" s="29"/>
      <c r="W185" s="29"/>
      <c r="X185" s="29"/>
      <c r="Y185" s="29"/>
      <c r="Z185" s="29"/>
      <c r="AB185" s="30"/>
      <c r="AD185" s="29"/>
      <c r="AE185" s="29"/>
    </row>
    <row r="186" ht="15.75" customHeight="1">
      <c r="A186" s="28" t="s">
        <v>326</v>
      </c>
      <c r="C186" s="29"/>
      <c r="E186" s="29"/>
      <c r="F186" s="23"/>
      <c r="G186" s="23"/>
      <c r="H186" s="23"/>
      <c r="I186" s="29"/>
      <c r="K186" s="29"/>
      <c r="L186" s="29"/>
      <c r="W186" s="29"/>
      <c r="X186" s="29"/>
      <c r="Y186" s="29"/>
      <c r="Z186" s="29"/>
      <c r="AB186" s="30"/>
      <c r="AD186" s="29"/>
      <c r="AE186" s="29"/>
    </row>
    <row r="187" ht="15.75" customHeight="1">
      <c r="A187" s="28" t="s">
        <v>327</v>
      </c>
      <c r="C187" s="29"/>
      <c r="E187" s="29"/>
      <c r="F187" s="23"/>
      <c r="G187" s="23"/>
      <c r="H187" s="23"/>
      <c r="I187" s="29"/>
      <c r="K187" s="29"/>
      <c r="L187" s="29"/>
      <c r="W187" s="29"/>
      <c r="X187" s="29"/>
      <c r="Y187" s="29"/>
      <c r="Z187" s="29"/>
      <c r="AB187" s="30"/>
      <c r="AD187" s="29"/>
      <c r="AE187" s="29"/>
    </row>
    <row r="188" ht="15.75" customHeight="1">
      <c r="A188" s="28" t="s">
        <v>328</v>
      </c>
      <c r="C188" s="29"/>
      <c r="E188" s="29"/>
      <c r="F188" s="23"/>
      <c r="G188" s="23"/>
      <c r="H188" s="23"/>
      <c r="I188" s="29"/>
      <c r="K188" s="29"/>
      <c r="L188" s="29"/>
      <c r="W188" s="29"/>
      <c r="X188" s="29"/>
      <c r="Y188" s="29"/>
      <c r="Z188" s="29"/>
      <c r="AB188" s="30"/>
      <c r="AD188" s="29"/>
      <c r="AE188" s="29"/>
    </row>
    <row r="189" ht="15.75" customHeight="1">
      <c r="A189" s="28" t="s">
        <v>329</v>
      </c>
      <c r="C189" s="29"/>
      <c r="E189" s="29"/>
      <c r="F189" s="23"/>
      <c r="G189" s="23"/>
      <c r="H189" s="23"/>
      <c r="I189" s="29"/>
      <c r="K189" s="29"/>
      <c r="L189" s="29"/>
      <c r="W189" s="29"/>
      <c r="X189" s="29"/>
      <c r="Y189" s="29"/>
      <c r="Z189" s="29"/>
      <c r="AB189" s="30"/>
      <c r="AD189" s="29"/>
      <c r="AE189" s="29"/>
    </row>
    <row r="190" ht="15.75" customHeight="1">
      <c r="A190" s="28" t="s">
        <v>330</v>
      </c>
      <c r="C190" s="29"/>
      <c r="E190" s="29"/>
      <c r="F190" s="23"/>
      <c r="G190" s="23"/>
      <c r="H190" s="23"/>
      <c r="I190" s="29"/>
      <c r="K190" s="29"/>
      <c r="L190" s="29"/>
      <c r="W190" s="29"/>
      <c r="X190" s="29"/>
      <c r="Y190" s="29"/>
      <c r="Z190" s="29"/>
      <c r="AB190" s="30"/>
      <c r="AD190" s="29"/>
      <c r="AE190" s="29"/>
    </row>
    <row r="191" ht="15.75" customHeight="1">
      <c r="A191" s="28" t="s">
        <v>331</v>
      </c>
      <c r="C191" s="29"/>
      <c r="E191" s="29"/>
      <c r="F191" s="23"/>
      <c r="G191" s="23"/>
      <c r="H191" s="23"/>
      <c r="I191" s="29"/>
      <c r="K191" s="29"/>
      <c r="L191" s="29"/>
      <c r="W191" s="29"/>
      <c r="X191" s="29"/>
      <c r="Y191" s="29"/>
      <c r="Z191" s="29"/>
      <c r="AB191" s="30"/>
      <c r="AD191" s="29"/>
      <c r="AE191" s="29"/>
    </row>
    <row r="192" ht="15.75" customHeight="1">
      <c r="A192" s="28" t="s">
        <v>332</v>
      </c>
      <c r="C192" s="29"/>
      <c r="E192" s="29"/>
      <c r="F192" s="23"/>
      <c r="G192" s="23"/>
      <c r="H192" s="23"/>
      <c r="I192" s="29"/>
      <c r="K192" s="29"/>
      <c r="L192" s="29"/>
      <c r="W192" s="29"/>
      <c r="X192" s="29"/>
      <c r="Y192" s="29"/>
      <c r="Z192" s="29"/>
      <c r="AB192" s="30"/>
      <c r="AD192" s="29"/>
      <c r="AE192" s="29"/>
    </row>
    <row r="193" ht="15.75" customHeight="1">
      <c r="A193" s="28" t="s">
        <v>333</v>
      </c>
      <c r="C193" s="29"/>
      <c r="E193" s="29"/>
      <c r="F193" s="23"/>
      <c r="G193" s="23"/>
      <c r="H193" s="23"/>
      <c r="I193" s="29"/>
      <c r="K193" s="29"/>
      <c r="L193" s="29"/>
      <c r="W193" s="29"/>
      <c r="X193" s="29"/>
      <c r="Y193" s="29"/>
      <c r="Z193" s="29"/>
      <c r="AB193" s="30"/>
      <c r="AD193" s="29"/>
      <c r="AE193" s="29"/>
    </row>
    <row r="194" ht="15.75" customHeight="1">
      <c r="A194" s="28" t="s">
        <v>334</v>
      </c>
      <c r="C194" s="29"/>
      <c r="E194" s="29"/>
      <c r="F194" s="23"/>
      <c r="G194" s="23"/>
      <c r="H194" s="23"/>
      <c r="I194" s="29"/>
      <c r="K194" s="29"/>
      <c r="L194" s="29"/>
      <c r="W194" s="29"/>
      <c r="X194" s="29"/>
      <c r="Y194" s="29"/>
      <c r="Z194" s="29"/>
      <c r="AB194" s="30"/>
      <c r="AD194" s="29"/>
      <c r="AE194" s="29"/>
    </row>
    <row r="195" ht="15.75" customHeight="1">
      <c r="A195" s="28" t="s">
        <v>335</v>
      </c>
      <c r="C195" s="29"/>
      <c r="E195" s="29"/>
      <c r="F195" s="23"/>
      <c r="G195" s="23"/>
      <c r="H195" s="23"/>
      <c r="I195" s="29"/>
      <c r="K195" s="29"/>
      <c r="L195" s="29"/>
      <c r="W195" s="29"/>
      <c r="X195" s="29"/>
      <c r="Y195" s="29"/>
      <c r="Z195" s="29"/>
      <c r="AB195" s="30"/>
      <c r="AD195" s="29"/>
      <c r="AE195" s="29"/>
    </row>
    <row r="196" ht="15.75" customHeight="1">
      <c r="A196" s="28" t="s">
        <v>336</v>
      </c>
      <c r="C196" s="29"/>
      <c r="E196" s="29"/>
      <c r="F196" s="23"/>
      <c r="G196" s="23"/>
      <c r="H196" s="23"/>
      <c r="I196" s="29"/>
      <c r="K196" s="29"/>
      <c r="L196" s="29"/>
      <c r="W196" s="29"/>
      <c r="X196" s="29"/>
      <c r="Y196" s="29"/>
      <c r="Z196" s="29"/>
      <c r="AB196" s="30"/>
      <c r="AD196" s="29"/>
      <c r="AE196" s="29"/>
    </row>
    <row r="197" ht="15.75" customHeight="1">
      <c r="A197" s="28" t="s">
        <v>337</v>
      </c>
      <c r="C197" s="29"/>
      <c r="E197" s="29"/>
      <c r="F197" s="23"/>
      <c r="G197" s="23"/>
      <c r="H197" s="23"/>
      <c r="I197" s="29"/>
      <c r="K197" s="29"/>
      <c r="L197" s="29"/>
      <c r="W197" s="29"/>
      <c r="X197" s="29"/>
      <c r="Y197" s="29"/>
      <c r="Z197" s="29"/>
      <c r="AB197" s="30"/>
      <c r="AD197" s="29"/>
      <c r="AE197" s="29"/>
    </row>
    <row r="198" ht="15.75" customHeight="1">
      <c r="A198" s="28" t="s">
        <v>338</v>
      </c>
      <c r="C198" s="29"/>
      <c r="E198" s="29"/>
      <c r="F198" s="23"/>
      <c r="G198" s="23"/>
      <c r="H198" s="23"/>
      <c r="I198" s="29"/>
      <c r="K198" s="29"/>
      <c r="L198" s="29"/>
      <c r="W198" s="29"/>
      <c r="X198" s="29"/>
      <c r="Y198" s="29"/>
      <c r="Z198" s="29"/>
      <c r="AB198" s="30"/>
      <c r="AD198" s="29"/>
      <c r="AE198" s="29"/>
    </row>
    <row r="199" ht="15.75" customHeight="1">
      <c r="A199" s="28" t="s">
        <v>339</v>
      </c>
      <c r="C199" s="29"/>
      <c r="E199" s="29"/>
      <c r="F199" s="23"/>
      <c r="G199" s="23"/>
      <c r="H199" s="23"/>
      <c r="I199" s="29"/>
      <c r="K199" s="29"/>
      <c r="L199" s="29"/>
      <c r="W199" s="29"/>
      <c r="X199" s="29"/>
      <c r="Y199" s="29"/>
      <c r="Z199" s="29"/>
      <c r="AB199" s="30"/>
      <c r="AD199" s="29"/>
      <c r="AE199" s="29"/>
    </row>
    <row r="200" ht="15.75" customHeight="1">
      <c r="C200" s="29"/>
      <c r="E200" s="29"/>
      <c r="F200" s="23"/>
      <c r="G200" s="23"/>
      <c r="H200" s="23"/>
      <c r="I200" s="29"/>
      <c r="K200" s="29"/>
      <c r="L200" s="29"/>
      <c r="W200" s="29"/>
      <c r="X200" s="29"/>
      <c r="Y200" s="29"/>
      <c r="Z200" s="29"/>
      <c r="AB200" s="30"/>
      <c r="AD200" s="29"/>
      <c r="AE200" s="29"/>
    </row>
    <row r="201" ht="15.75" customHeight="1">
      <c r="C201" s="29"/>
      <c r="E201" s="29"/>
      <c r="F201" s="23"/>
      <c r="G201" s="23"/>
      <c r="H201" s="23"/>
      <c r="I201" s="29"/>
      <c r="K201" s="29"/>
      <c r="L201" s="29"/>
      <c r="W201" s="29"/>
      <c r="X201" s="29"/>
      <c r="Y201" s="29"/>
      <c r="Z201" s="29"/>
      <c r="AB201" s="30"/>
      <c r="AD201" s="29"/>
      <c r="AE201" s="29"/>
    </row>
    <row r="202" ht="15.75" customHeight="1">
      <c r="C202" s="29"/>
      <c r="E202" s="29"/>
      <c r="F202" s="23"/>
      <c r="G202" s="23"/>
      <c r="H202" s="23"/>
      <c r="I202" s="29"/>
      <c r="K202" s="29"/>
      <c r="L202" s="29"/>
      <c r="W202" s="29"/>
      <c r="X202" s="29"/>
      <c r="Y202" s="29"/>
      <c r="Z202" s="29"/>
      <c r="AB202" s="30"/>
      <c r="AD202" s="29"/>
      <c r="AE202" s="29"/>
    </row>
    <row r="203" ht="15.75" customHeight="1">
      <c r="C203" s="29"/>
      <c r="E203" s="29"/>
      <c r="F203" s="23"/>
      <c r="G203" s="23"/>
      <c r="H203" s="23"/>
      <c r="I203" s="29"/>
      <c r="K203" s="29"/>
      <c r="L203" s="29"/>
      <c r="W203" s="29"/>
      <c r="X203" s="29"/>
      <c r="Y203" s="29"/>
      <c r="Z203" s="29"/>
      <c r="AB203" s="30"/>
      <c r="AD203" s="29"/>
      <c r="AE203" s="29"/>
    </row>
    <row r="204" ht="15.75" customHeight="1">
      <c r="C204" s="29"/>
      <c r="E204" s="29"/>
      <c r="F204" s="23"/>
      <c r="G204" s="23"/>
      <c r="H204" s="23"/>
      <c r="I204" s="29"/>
      <c r="K204" s="29"/>
      <c r="L204" s="29"/>
      <c r="W204" s="29"/>
      <c r="X204" s="29"/>
      <c r="Y204" s="29"/>
      <c r="Z204" s="29"/>
      <c r="AB204" s="30"/>
      <c r="AD204" s="29"/>
      <c r="AE204" s="29"/>
    </row>
    <row r="205" ht="15.75" customHeight="1">
      <c r="C205" s="29"/>
      <c r="E205" s="29"/>
      <c r="F205" s="23"/>
      <c r="G205" s="23"/>
      <c r="H205" s="23"/>
      <c r="I205" s="29"/>
      <c r="K205" s="29"/>
      <c r="L205" s="29"/>
      <c r="W205" s="29"/>
      <c r="X205" s="29"/>
      <c r="Y205" s="29"/>
      <c r="Z205" s="29"/>
      <c r="AB205" s="30"/>
      <c r="AD205" s="29"/>
      <c r="AE205" s="29"/>
    </row>
    <row r="206" ht="15.75" customHeight="1">
      <c r="C206" s="29"/>
      <c r="E206" s="29"/>
      <c r="F206" s="23"/>
      <c r="G206" s="23"/>
      <c r="H206" s="23"/>
      <c r="I206" s="29"/>
      <c r="K206" s="29"/>
      <c r="L206" s="29"/>
      <c r="W206" s="29"/>
      <c r="X206" s="29"/>
      <c r="Y206" s="29"/>
      <c r="Z206" s="29"/>
      <c r="AB206" s="30"/>
      <c r="AD206" s="29"/>
      <c r="AE206" s="29"/>
    </row>
    <row r="207" ht="15.75" customHeight="1">
      <c r="C207" s="29"/>
      <c r="E207" s="29"/>
      <c r="F207" s="23"/>
      <c r="G207" s="23"/>
      <c r="H207" s="23"/>
      <c r="I207" s="29"/>
      <c r="K207" s="29"/>
      <c r="L207" s="29"/>
      <c r="W207" s="29"/>
      <c r="X207" s="29"/>
      <c r="Y207" s="29"/>
      <c r="Z207" s="29"/>
      <c r="AB207" s="30"/>
      <c r="AD207" s="29"/>
      <c r="AE207" s="29"/>
    </row>
    <row r="208" ht="15.75" customHeight="1">
      <c r="C208" s="29"/>
      <c r="E208" s="29"/>
      <c r="F208" s="23"/>
      <c r="G208" s="23"/>
      <c r="H208" s="23"/>
      <c r="I208" s="29"/>
      <c r="K208" s="29"/>
      <c r="L208" s="29"/>
      <c r="W208" s="29"/>
      <c r="X208" s="29"/>
      <c r="Y208" s="29"/>
      <c r="Z208" s="29"/>
      <c r="AB208" s="30"/>
      <c r="AD208" s="29"/>
      <c r="AE208" s="29"/>
    </row>
    <row r="209" ht="15.75" customHeight="1">
      <c r="C209" s="29"/>
      <c r="E209" s="29"/>
      <c r="F209" s="23"/>
      <c r="G209" s="23"/>
      <c r="H209" s="23"/>
      <c r="I209" s="29"/>
      <c r="K209" s="29"/>
      <c r="L209" s="29"/>
      <c r="W209" s="29"/>
      <c r="X209" s="29"/>
      <c r="Y209" s="29"/>
      <c r="Z209" s="29"/>
      <c r="AB209" s="30"/>
      <c r="AD209" s="29"/>
      <c r="AE209" s="29"/>
    </row>
    <row r="210" ht="15.75" customHeight="1">
      <c r="C210" s="29"/>
      <c r="E210" s="29"/>
      <c r="F210" s="23"/>
      <c r="G210" s="23"/>
      <c r="H210" s="23"/>
      <c r="I210" s="29"/>
      <c r="K210" s="29"/>
      <c r="L210" s="29"/>
      <c r="W210" s="29"/>
      <c r="X210" s="29"/>
      <c r="Y210" s="29"/>
      <c r="Z210" s="29"/>
      <c r="AB210" s="30"/>
      <c r="AD210" s="29"/>
      <c r="AE210" s="29"/>
    </row>
    <row r="211" ht="15.75" customHeight="1">
      <c r="C211" s="29"/>
      <c r="E211" s="29"/>
      <c r="F211" s="23"/>
      <c r="G211" s="23"/>
      <c r="H211" s="23"/>
      <c r="I211" s="29"/>
      <c r="K211" s="29"/>
      <c r="L211" s="29"/>
      <c r="W211" s="29"/>
      <c r="X211" s="29"/>
      <c r="Y211" s="29"/>
      <c r="Z211" s="29"/>
      <c r="AB211" s="30"/>
      <c r="AD211" s="29"/>
      <c r="AE211" s="29"/>
    </row>
    <row r="212" ht="15.75" customHeight="1">
      <c r="C212" s="29"/>
      <c r="E212" s="29"/>
      <c r="F212" s="23"/>
      <c r="G212" s="23"/>
      <c r="H212" s="23"/>
      <c r="I212" s="29"/>
      <c r="K212" s="29"/>
      <c r="L212" s="29"/>
      <c r="W212" s="29"/>
      <c r="X212" s="29"/>
      <c r="Y212" s="29"/>
      <c r="Z212" s="29"/>
      <c r="AB212" s="30"/>
      <c r="AD212" s="29"/>
      <c r="AE212" s="29"/>
    </row>
    <row r="213" ht="15.75" customHeight="1">
      <c r="C213" s="29"/>
      <c r="E213" s="29"/>
      <c r="F213" s="23"/>
      <c r="G213" s="23"/>
      <c r="H213" s="23"/>
      <c r="I213" s="29"/>
      <c r="K213" s="29"/>
      <c r="L213" s="29"/>
      <c r="W213" s="29"/>
      <c r="X213" s="29"/>
      <c r="Y213" s="29"/>
      <c r="Z213" s="29"/>
      <c r="AB213" s="30"/>
      <c r="AD213" s="29"/>
      <c r="AE213" s="29"/>
    </row>
    <row r="214" ht="15.75" customHeight="1">
      <c r="C214" s="29"/>
      <c r="E214" s="29"/>
      <c r="F214" s="23"/>
      <c r="G214" s="23"/>
      <c r="H214" s="23"/>
      <c r="I214" s="29"/>
      <c r="K214" s="29"/>
      <c r="L214" s="29"/>
      <c r="W214" s="29"/>
      <c r="X214" s="29"/>
      <c r="Y214" s="29"/>
      <c r="Z214" s="29"/>
      <c r="AB214" s="30"/>
      <c r="AD214" s="29"/>
      <c r="AE214" s="29"/>
    </row>
    <row r="215" ht="15.75" customHeight="1">
      <c r="C215" s="29"/>
      <c r="E215" s="29"/>
      <c r="F215" s="23"/>
      <c r="G215" s="23"/>
      <c r="H215" s="23"/>
      <c r="I215" s="29"/>
      <c r="K215" s="29"/>
      <c r="L215" s="29"/>
      <c r="W215" s="29"/>
      <c r="X215" s="29"/>
      <c r="Y215" s="29"/>
      <c r="Z215" s="29"/>
      <c r="AB215" s="30"/>
      <c r="AD215" s="29"/>
      <c r="AE215" s="29"/>
    </row>
    <row r="216" ht="15.75" customHeight="1">
      <c r="C216" s="29"/>
      <c r="E216" s="29"/>
      <c r="F216" s="23"/>
      <c r="G216" s="23"/>
      <c r="H216" s="23"/>
      <c r="I216" s="29"/>
      <c r="K216" s="29"/>
      <c r="L216" s="29"/>
      <c r="W216" s="29"/>
      <c r="X216" s="29"/>
      <c r="Y216" s="29"/>
      <c r="Z216" s="29"/>
      <c r="AB216" s="30"/>
      <c r="AD216" s="29"/>
      <c r="AE216" s="29"/>
    </row>
    <row r="217" ht="15.75" customHeight="1">
      <c r="C217" s="29"/>
      <c r="E217" s="29"/>
      <c r="F217" s="23"/>
      <c r="G217" s="23"/>
      <c r="H217" s="23"/>
      <c r="I217" s="29"/>
      <c r="K217" s="29"/>
      <c r="L217" s="29"/>
      <c r="W217" s="29"/>
      <c r="X217" s="29"/>
      <c r="Y217" s="29"/>
      <c r="Z217" s="29"/>
      <c r="AB217" s="30"/>
      <c r="AD217" s="29"/>
      <c r="AE217" s="29"/>
    </row>
    <row r="218" ht="15.75" customHeight="1">
      <c r="C218" s="29"/>
      <c r="E218" s="29"/>
      <c r="F218" s="23"/>
      <c r="G218" s="23"/>
      <c r="H218" s="23"/>
      <c r="I218" s="29"/>
      <c r="K218" s="29"/>
      <c r="L218" s="29"/>
      <c r="W218" s="29"/>
      <c r="X218" s="29"/>
      <c r="Y218" s="29"/>
      <c r="Z218" s="29"/>
      <c r="AB218" s="30"/>
      <c r="AD218" s="29"/>
      <c r="AE218" s="29"/>
    </row>
    <row r="219" ht="15.75" customHeight="1">
      <c r="C219" s="29"/>
      <c r="E219" s="29"/>
      <c r="F219" s="23"/>
      <c r="G219" s="23"/>
      <c r="H219" s="23"/>
      <c r="I219" s="29"/>
      <c r="K219" s="29"/>
      <c r="L219" s="29"/>
      <c r="W219" s="29"/>
      <c r="X219" s="29"/>
      <c r="Y219" s="29"/>
      <c r="Z219" s="29"/>
      <c r="AB219" s="30"/>
      <c r="AD219" s="29"/>
      <c r="AE219" s="29"/>
    </row>
    <row r="220" ht="15.75" customHeight="1">
      <c r="C220" s="29"/>
      <c r="E220" s="29"/>
      <c r="F220" s="23"/>
      <c r="G220" s="23"/>
      <c r="H220" s="23"/>
      <c r="I220" s="29"/>
      <c r="K220" s="29"/>
      <c r="L220" s="29"/>
      <c r="W220" s="29"/>
      <c r="X220" s="29"/>
      <c r="Y220" s="29"/>
      <c r="Z220" s="29"/>
      <c r="AB220" s="30"/>
      <c r="AD220" s="29"/>
      <c r="AE220" s="29"/>
    </row>
    <row r="221" ht="15.75" customHeight="1">
      <c r="C221" s="29"/>
      <c r="E221" s="29"/>
      <c r="F221" s="23"/>
      <c r="G221" s="23"/>
      <c r="H221" s="23"/>
      <c r="I221" s="29"/>
      <c r="K221" s="29"/>
      <c r="L221" s="29"/>
      <c r="W221" s="29"/>
      <c r="X221" s="29"/>
      <c r="Y221" s="29"/>
      <c r="Z221" s="29"/>
      <c r="AB221" s="30"/>
      <c r="AD221" s="29"/>
      <c r="AE221" s="29"/>
    </row>
    <row r="222" ht="15.75" customHeight="1">
      <c r="C222" s="29"/>
      <c r="E222" s="29"/>
      <c r="F222" s="23"/>
      <c r="G222" s="23"/>
      <c r="H222" s="23"/>
      <c r="I222" s="29"/>
      <c r="K222" s="29"/>
      <c r="L222" s="29"/>
      <c r="W222" s="29"/>
      <c r="X222" s="29"/>
      <c r="Y222" s="29"/>
      <c r="Z222" s="29"/>
      <c r="AB222" s="30"/>
      <c r="AD222" s="29"/>
      <c r="AE222" s="29"/>
    </row>
    <row r="223" ht="15.75" customHeight="1">
      <c r="C223" s="29"/>
      <c r="E223" s="29"/>
      <c r="F223" s="23"/>
      <c r="G223" s="23"/>
      <c r="H223" s="23"/>
      <c r="I223" s="29"/>
      <c r="K223" s="29"/>
      <c r="L223" s="29"/>
      <c r="W223" s="29"/>
      <c r="X223" s="29"/>
      <c r="Y223" s="29"/>
      <c r="Z223" s="29"/>
      <c r="AB223" s="30"/>
      <c r="AD223" s="29"/>
      <c r="AE223" s="29"/>
    </row>
    <row r="224" ht="15.75" customHeight="1">
      <c r="C224" s="29"/>
      <c r="E224" s="29"/>
      <c r="F224" s="23"/>
      <c r="G224" s="23"/>
      <c r="H224" s="23"/>
      <c r="I224" s="29"/>
      <c r="K224" s="29"/>
      <c r="L224" s="29"/>
      <c r="W224" s="29"/>
      <c r="X224" s="29"/>
      <c r="Y224" s="29"/>
      <c r="Z224" s="29"/>
      <c r="AB224" s="30"/>
      <c r="AD224" s="29"/>
      <c r="AE224" s="29"/>
    </row>
    <row r="225" ht="15.75" customHeight="1">
      <c r="C225" s="29"/>
      <c r="E225" s="29"/>
      <c r="F225" s="23"/>
      <c r="G225" s="23"/>
      <c r="H225" s="23"/>
      <c r="I225" s="29"/>
      <c r="K225" s="29"/>
      <c r="L225" s="29"/>
      <c r="W225" s="29"/>
      <c r="X225" s="29"/>
      <c r="Y225" s="29"/>
      <c r="Z225" s="29"/>
      <c r="AB225" s="30"/>
      <c r="AD225" s="29"/>
      <c r="AE225" s="29"/>
    </row>
    <row r="226" ht="15.75" customHeight="1">
      <c r="C226" s="29"/>
      <c r="E226" s="29"/>
      <c r="I226" s="29"/>
      <c r="K226" s="29"/>
      <c r="L226" s="29"/>
      <c r="W226" s="29"/>
      <c r="X226" s="29"/>
      <c r="Y226" s="29"/>
      <c r="Z226" s="29"/>
      <c r="AB226" s="30"/>
      <c r="AD226" s="29"/>
      <c r="AE226" s="29"/>
    </row>
    <row r="227" ht="15.75" customHeight="1">
      <c r="C227" s="29"/>
      <c r="E227" s="29"/>
      <c r="I227" s="29"/>
      <c r="K227" s="29"/>
      <c r="L227" s="29"/>
      <c r="W227" s="29"/>
      <c r="X227" s="29"/>
      <c r="Y227" s="29"/>
      <c r="Z227" s="29"/>
      <c r="AB227" s="30"/>
      <c r="AD227" s="29"/>
      <c r="AE227" s="29"/>
    </row>
    <row r="228" ht="15.75" customHeight="1">
      <c r="C228" s="29"/>
      <c r="E228" s="29"/>
      <c r="I228" s="29"/>
      <c r="K228" s="29"/>
      <c r="L228" s="29"/>
      <c r="W228" s="29"/>
      <c r="X228" s="29"/>
      <c r="Y228" s="29"/>
      <c r="Z228" s="29"/>
      <c r="AB228" s="30"/>
      <c r="AD228" s="29"/>
      <c r="AE228" s="29"/>
    </row>
    <row r="229" ht="15.75" customHeight="1">
      <c r="C229" s="29"/>
      <c r="E229" s="29"/>
      <c r="I229" s="29"/>
      <c r="K229" s="29"/>
      <c r="L229" s="29"/>
      <c r="W229" s="29"/>
      <c r="X229" s="29"/>
      <c r="Y229" s="29"/>
      <c r="Z229" s="29"/>
      <c r="AB229" s="30"/>
      <c r="AD229" s="29"/>
      <c r="AE229" s="29"/>
    </row>
    <row r="230" ht="15.75" customHeight="1">
      <c r="C230" s="29"/>
      <c r="E230" s="29"/>
      <c r="I230" s="29"/>
      <c r="K230" s="29"/>
      <c r="L230" s="29"/>
      <c r="W230" s="29"/>
      <c r="X230" s="29"/>
      <c r="Y230" s="29"/>
      <c r="Z230" s="29"/>
      <c r="AB230" s="30"/>
      <c r="AD230" s="29"/>
      <c r="AE230" s="29"/>
    </row>
    <row r="231" ht="15.75" customHeight="1">
      <c r="C231" s="29"/>
      <c r="E231" s="29"/>
      <c r="I231" s="29"/>
      <c r="K231" s="29"/>
      <c r="L231" s="29"/>
      <c r="W231" s="29"/>
      <c r="X231" s="29"/>
      <c r="Y231" s="29"/>
      <c r="Z231" s="29"/>
      <c r="AB231" s="30"/>
      <c r="AD231" s="29"/>
      <c r="AE231" s="29"/>
    </row>
    <row r="232" ht="15.75" customHeight="1">
      <c r="C232" s="29"/>
      <c r="E232" s="29"/>
      <c r="I232" s="29"/>
      <c r="K232" s="29"/>
      <c r="L232" s="29"/>
      <c r="W232" s="29"/>
      <c r="X232" s="29"/>
      <c r="Y232" s="29"/>
      <c r="Z232" s="29"/>
      <c r="AB232" s="30"/>
      <c r="AD232" s="29"/>
      <c r="AE232" s="29"/>
    </row>
    <row r="233" ht="15.75" customHeight="1">
      <c r="C233" s="29"/>
      <c r="E233" s="29"/>
      <c r="I233" s="29"/>
      <c r="K233" s="29"/>
      <c r="L233" s="29"/>
      <c r="W233" s="29"/>
      <c r="X233" s="29"/>
      <c r="Y233" s="29"/>
      <c r="Z233" s="29"/>
      <c r="AB233" s="30"/>
      <c r="AD233" s="29"/>
      <c r="AE233" s="29"/>
    </row>
    <row r="234" ht="15.75" customHeight="1">
      <c r="C234" s="29"/>
      <c r="E234" s="29"/>
      <c r="I234" s="29"/>
      <c r="K234" s="29"/>
      <c r="L234" s="29"/>
      <c r="W234" s="29"/>
      <c r="X234" s="29"/>
      <c r="Y234" s="29"/>
      <c r="Z234" s="29"/>
      <c r="AB234" s="30"/>
      <c r="AD234" s="29"/>
      <c r="AE234" s="29"/>
    </row>
    <row r="235" ht="15.75" customHeight="1">
      <c r="C235" s="29"/>
      <c r="E235" s="29"/>
      <c r="I235" s="29"/>
      <c r="K235" s="29"/>
      <c r="L235" s="29"/>
      <c r="W235" s="29"/>
      <c r="X235" s="29"/>
      <c r="Y235" s="29"/>
      <c r="Z235" s="29"/>
      <c r="AB235" s="30"/>
      <c r="AD235" s="29"/>
      <c r="AE235" s="29"/>
    </row>
    <row r="236" ht="15.75" customHeight="1">
      <c r="C236" s="29"/>
      <c r="E236" s="29"/>
      <c r="I236" s="29"/>
      <c r="K236" s="29"/>
      <c r="L236" s="29"/>
      <c r="W236" s="29"/>
      <c r="X236" s="29"/>
      <c r="Y236" s="29"/>
      <c r="Z236" s="29"/>
      <c r="AB236" s="30"/>
      <c r="AD236" s="29"/>
      <c r="AE236" s="29"/>
    </row>
    <row r="237" ht="15.75" customHeight="1">
      <c r="C237" s="29"/>
      <c r="E237" s="29"/>
      <c r="I237" s="29"/>
      <c r="K237" s="29"/>
      <c r="L237" s="29"/>
      <c r="W237" s="29"/>
      <c r="X237" s="29"/>
      <c r="Y237" s="29"/>
      <c r="Z237" s="29"/>
      <c r="AB237" s="30"/>
      <c r="AD237" s="29"/>
      <c r="AE237" s="29"/>
    </row>
    <row r="238" ht="15.75" customHeight="1">
      <c r="C238" s="29"/>
      <c r="E238" s="29"/>
      <c r="I238" s="29"/>
      <c r="K238" s="29"/>
      <c r="L238" s="29"/>
      <c r="W238" s="29"/>
      <c r="X238" s="29"/>
      <c r="Y238" s="29"/>
      <c r="Z238" s="29"/>
      <c r="AB238" s="30"/>
      <c r="AD238" s="29"/>
      <c r="AE238" s="29"/>
    </row>
    <row r="239" ht="15.75" customHeight="1">
      <c r="C239" s="29"/>
      <c r="E239" s="29"/>
      <c r="I239" s="29"/>
      <c r="K239" s="29"/>
      <c r="L239" s="29"/>
      <c r="W239" s="29"/>
      <c r="X239" s="29"/>
      <c r="Y239" s="29"/>
      <c r="Z239" s="29"/>
      <c r="AB239" s="30"/>
      <c r="AD239" s="29"/>
      <c r="AE239" s="29"/>
    </row>
    <row r="240" ht="15.75" customHeight="1">
      <c r="C240" s="29"/>
      <c r="E240" s="29"/>
      <c r="I240" s="29"/>
      <c r="K240" s="29"/>
      <c r="L240" s="29"/>
      <c r="W240" s="29"/>
      <c r="X240" s="29"/>
      <c r="Y240" s="29"/>
      <c r="Z240" s="29"/>
      <c r="AB240" s="30"/>
      <c r="AD240" s="29"/>
      <c r="AE240" s="29"/>
    </row>
    <row r="241" ht="15.75" customHeight="1">
      <c r="C241" s="29"/>
      <c r="E241" s="29"/>
      <c r="I241" s="29"/>
      <c r="K241" s="29"/>
      <c r="L241" s="29"/>
      <c r="W241" s="29"/>
      <c r="X241" s="29"/>
      <c r="Y241" s="29"/>
      <c r="Z241" s="29"/>
      <c r="AB241" s="30"/>
      <c r="AD241" s="29"/>
      <c r="AE241" s="29"/>
    </row>
    <row r="242" ht="15.75" customHeight="1">
      <c r="C242" s="29"/>
      <c r="E242" s="29"/>
      <c r="I242" s="29"/>
      <c r="K242" s="29"/>
      <c r="L242" s="29"/>
      <c r="W242" s="29"/>
      <c r="X242" s="29"/>
      <c r="Y242" s="29"/>
      <c r="Z242" s="29"/>
      <c r="AB242" s="30"/>
      <c r="AD242" s="29"/>
      <c r="AE242" s="29"/>
    </row>
    <row r="243" ht="15.75" customHeight="1">
      <c r="C243" s="29"/>
      <c r="E243" s="29"/>
      <c r="I243" s="29"/>
      <c r="K243" s="29"/>
      <c r="L243" s="29"/>
      <c r="W243" s="29"/>
      <c r="X243" s="29"/>
      <c r="Y243" s="29"/>
      <c r="Z243" s="29"/>
      <c r="AB243" s="30"/>
      <c r="AD243" s="29"/>
      <c r="AE243" s="29"/>
    </row>
    <row r="244" ht="15.75" customHeight="1">
      <c r="C244" s="29"/>
      <c r="E244" s="29"/>
      <c r="I244" s="29"/>
      <c r="K244" s="29"/>
      <c r="L244" s="29"/>
      <c r="W244" s="29"/>
      <c r="X244" s="29"/>
      <c r="Y244" s="29"/>
      <c r="Z244" s="29"/>
      <c r="AB244" s="30"/>
      <c r="AD244" s="29"/>
      <c r="AE244" s="29"/>
    </row>
    <row r="245" ht="15.75" customHeight="1">
      <c r="C245" s="29"/>
      <c r="E245" s="29"/>
      <c r="I245" s="29"/>
      <c r="K245" s="29"/>
      <c r="L245" s="29"/>
      <c r="W245" s="29"/>
      <c r="X245" s="29"/>
      <c r="Y245" s="29"/>
      <c r="Z245" s="29"/>
      <c r="AB245" s="30"/>
      <c r="AD245" s="29"/>
      <c r="AE245" s="29"/>
    </row>
    <row r="246" ht="15.75" customHeight="1">
      <c r="C246" s="29"/>
      <c r="E246" s="29"/>
      <c r="I246" s="29"/>
      <c r="K246" s="29"/>
      <c r="L246" s="29"/>
      <c r="W246" s="29"/>
      <c r="X246" s="29"/>
      <c r="Y246" s="29"/>
      <c r="Z246" s="29"/>
      <c r="AB246" s="30"/>
      <c r="AD246" s="29"/>
      <c r="AE246" s="29"/>
    </row>
    <row r="247" ht="15.75" customHeight="1">
      <c r="C247" s="29"/>
      <c r="E247" s="29"/>
      <c r="I247" s="29"/>
      <c r="K247" s="29"/>
      <c r="L247" s="29"/>
      <c r="W247" s="29"/>
      <c r="X247" s="29"/>
      <c r="Y247" s="29"/>
      <c r="Z247" s="29"/>
      <c r="AB247" s="30"/>
      <c r="AD247" s="29"/>
      <c r="AE247" s="29"/>
    </row>
    <row r="248" ht="15.75" customHeight="1">
      <c r="C248" s="29"/>
      <c r="E248" s="29"/>
      <c r="I248" s="29"/>
      <c r="K248" s="29"/>
      <c r="L248" s="29"/>
      <c r="W248" s="29"/>
      <c r="X248" s="29"/>
      <c r="Y248" s="29"/>
      <c r="Z248" s="29"/>
      <c r="AB248" s="30"/>
      <c r="AD248" s="29"/>
      <c r="AE248" s="29"/>
    </row>
    <row r="249" ht="15.75" customHeight="1">
      <c r="C249" s="29"/>
      <c r="E249" s="29"/>
      <c r="I249" s="29"/>
      <c r="K249" s="29"/>
      <c r="L249" s="29"/>
      <c r="W249" s="29"/>
      <c r="X249" s="29"/>
      <c r="Y249" s="29"/>
      <c r="Z249" s="29"/>
      <c r="AB249" s="30"/>
      <c r="AD249" s="29"/>
      <c r="AE249" s="29"/>
    </row>
    <row r="250" ht="15.75" customHeight="1">
      <c r="C250" s="29"/>
      <c r="E250" s="29"/>
      <c r="I250" s="29"/>
      <c r="K250" s="29"/>
      <c r="L250" s="29"/>
      <c r="W250" s="29"/>
      <c r="X250" s="29"/>
      <c r="Y250" s="29"/>
      <c r="Z250" s="29"/>
      <c r="AB250" s="30"/>
      <c r="AD250" s="29"/>
      <c r="AE250" s="29"/>
    </row>
    <row r="251" ht="15.75" customHeight="1">
      <c r="C251" s="29"/>
      <c r="E251" s="29"/>
      <c r="I251" s="29"/>
      <c r="K251" s="29"/>
      <c r="L251" s="29"/>
      <c r="W251" s="29"/>
      <c r="X251" s="29"/>
      <c r="Y251" s="29"/>
      <c r="Z251" s="29"/>
      <c r="AB251" s="30"/>
      <c r="AD251" s="29"/>
      <c r="AE251" s="29"/>
    </row>
    <row r="252" ht="15.75" customHeight="1">
      <c r="C252" s="29"/>
      <c r="E252" s="29"/>
      <c r="I252" s="29"/>
      <c r="K252" s="29"/>
      <c r="L252" s="29"/>
      <c r="W252" s="29"/>
      <c r="X252" s="29"/>
      <c r="Y252" s="29"/>
      <c r="Z252" s="29"/>
      <c r="AB252" s="30"/>
      <c r="AD252" s="29"/>
      <c r="AE252" s="29"/>
    </row>
    <row r="253" ht="15.75" customHeight="1">
      <c r="C253" s="29"/>
      <c r="E253" s="29"/>
      <c r="I253" s="29"/>
      <c r="K253" s="29"/>
      <c r="L253" s="29"/>
      <c r="W253" s="29"/>
      <c r="X253" s="29"/>
      <c r="Y253" s="29"/>
      <c r="Z253" s="29"/>
      <c r="AB253" s="30"/>
      <c r="AD253" s="29"/>
      <c r="AE253" s="29"/>
    </row>
    <row r="254" ht="15.75" customHeight="1">
      <c r="C254" s="29"/>
      <c r="E254" s="29"/>
      <c r="I254" s="29"/>
      <c r="K254" s="29"/>
      <c r="L254" s="29"/>
      <c r="W254" s="29"/>
      <c r="X254" s="29"/>
      <c r="Y254" s="29"/>
      <c r="Z254" s="29"/>
      <c r="AB254" s="30"/>
      <c r="AD254" s="29"/>
      <c r="AE254" s="29"/>
    </row>
    <row r="255" ht="15.75" customHeight="1">
      <c r="C255" s="29"/>
      <c r="E255" s="29"/>
      <c r="I255" s="29"/>
      <c r="K255" s="29"/>
      <c r="L255" s="29"/>
      <c r="W255" s="29"/>
      <c r="X255" s="29"/>
      <c r="Y255" s="29"/>
      <c r="Z255" s="29"/>
      <c r="AB255" s="30"/>
      <c r="AD255" s="29"/>
      <c r="AE255" s="29"/>
    </row>
    <row r="256" ht="15.75" customHeight="1">
      <c r="C256" s="29"/>
      <c r="E256" s="29"/>
      <c r="I256" s="29"/>
      <c r="K256" s="29"/>
      <c r="L256" s="29"/>
      <c r="W256" s="29"/>
      <c r="X256" s="29"/>
      <c r="Y256" s="29"/>
      <c r="Z256" s="29"/>
      <c r="AB256" s="30"/>
      <c r="AD256" s="29"/>
      <c r="AE256" s="29"/>
    </row>
    <row r="257" ht="15.75" customHeight="1">
      <c r="C257" s="29"/>
      <c r="E257" s="29"/>
      <c r="I257" s="29"/>
      <c r="K257" s="29"/>
      <c r="L257" s="29"/>
      <c r="W257" s="29"/>
      <c r="X257" s="29"/>
      <c r="Y257" s="29"/>
      <c r="Z257" s="29"/>
      <c r="AB257" s="30"/>
      <c r="AD257" s="29"/>
      <c r="AE257" s="29"/>
    </row>
    <row r="258" ht="15.75" customHeight="1">
      <c r="C258" s="29"/>
      <c r="E258" s="29"/>
      <c r="I258" s="29"/>
      <c r="K258" s="29"/>
      <c r="L258" s="29"/>
      <c r="W258" s="29"/>
      <c r="X258" s="29"/>
      <c r="Y258" s="29"/>
      <c r="Z258" s="29"/>
      <c r="AB258" s="30"/>
      <c r="AD258" s="29"/>
      <c r="AE258" s="29"/>
    </row>
    <row r="259" ht="15.75" customHeight="1">
      <c r="C259" s="29"/>
      <c r="E259" s="29"/>
      <c r="I259" s="29"/>
      <c r="K259" s="29"/>
      <c r="L259" s="29"/>
      <c r="W259" s="29"/>
      <c r="X259" s="29"/>
      <c r="Y259" s="29"/>
      <c r="Z259" s="29"/>
      <c r="AB259" s="30"/>
      <c r="AD259" s="29"/>
      <c r="AE259" s="29"/>
    </row>
    <row r="260" ht="15.75" customHeight="1">
      <c r="C260" s="29"/>
      <c r="E260" s="29"/>
      <c r="I260" s="29"/>
      <c r="K260" s="29"/>
      <c r="L260" s="29"/>
      <c r="W260" s="29"/>
      <c r="X260" s="29"/>
      <c r="Y260" s="29"/>
      <c r="Z260" s="29"/>
      <c r="AB260" s="30"/>
      <c r="AD260" s="29"/>
      <c r="AE260" s="29"/>
    </row>
    <row r="261" ht="15.75" customHeight="1">
      <c r="C261" s="29"/>
      <c r="E261" s="29"/>
      <c r="I261" s="29"/>
      <c r="K261" s="29"/>
      <c r="L261" s="29"/>
      <c r="W261" s="29"/>
      <c r="X261" s="29"/>
      <c r="Y261" s="29"/>
      <c r="Z261" s="29"/>
      <c r="AB261" s="30"/>
      <c r="AD261" s="29"/>
      <c r="AE261" s="29"/>
    </row>
    <row r="262" ht="15.75" customHeight="1">
      <c r="C262" s="29"/>
      <c r="E262" s="29"/>
      <c r="I262" s="29"/>
      <c r="K262" s="29"/>
      <c r="L262" s="29"/>
      <c r="W262" s="29"/>
      <c r="X262" s="29"/>
      <c r="Y262" s="29"/>
      <c r="Z262" s="29"/>
      <c r="AB262" s="30"/>
      <c r="AD262" s="29"/>
      <c r="AE262" s="29"/>
    </row>
    <row r="263" ht="15.75" customHeight="1">
      <c r="C263" s="29"/>
      <c r="E263" s="29"/>
      <c r="I263" s="29"/>
      <c r="K263" s="29"/>
      <c r="L263" s="29"/>
      <c r="W263" s="29"/>
      <c r="X263" s="29"/>
      <c r="Y263" s="29"/>
      <c r="Z263" s="29"/>
      <c r="AB263" s="30"/>
      <c r="AD263" s="29"/>
      <c r="AE263" s="29"/>
    </row>
    <row r="264" ht="15.75" customHeight="1">
      <c r="C264" s="29"/>
      <c r="E264" s="29"/>
      <c r="I264" s="29"/>
      <c r="K264" s="29"/>
      <c r="L264" s="29"/>
      <c r="W264" s="29"/>
      <c r="X264" s="29"/>
      <c r="Y264" s="29"/>
      <c r="Z264" s="29"/>
      <c r="AB264" s="30"/>
      <c r="AD264" s="29"/>
      <c r="AE264" s="29"/>
    </row>
    <row r="265" ht="15.75" customHeight="1">
      <c r="C265" s="29"/>
      <c r="E265" s="29"/>
      <c r="I265" s="29"/>
      <c r="K265" s="29"/>
      <c r="L265" s="29"/>
      <c r="W265" s="29"/>
      <c r="X265" s="29"/>
      <c r="Y265" s="29"/>
      <c r="Z265" s="29"/>
      <c r="AB265" s="30"/>
      <c r="AD265" s="29"/>
      <c r="AE265" s="29"/>
    </row>
    <row r="266" ht="15.75" customHeight="1">
      <c r="C266" s="29"/>
      <c r="E266" s="29"/>
      <c r="I266" s="29"/>
      <c r="K266" s="29"/>
      <c r="L266" s="29"/>
      <c r="W266" s="29"/>
      <c r="X266" s="29"/>
      <c r="Y266" s="29"/>
      <c r="Z266" s="29"/>
      <c r="AB266" s="30"/>
      <c r="AD266" s="29"/>
      <c r="AE266" s="29"/>
    </row>
    <row r="267" ht="15.75" customHeight="1">
      <c r="C267" s="29"/>
      <c r="E267" s="29"/>
      <c r="I267" s="29"/>
      <c r="K267" s="29"/>
      <c r="L267" s="29"/>
      <c r="W267" s="29"/>
      <c r="X267" s="29"/>
      <c r="Y267" s="29"/>
      <c r="Z267" s="29"/>
      <c r="AB267" s="30"/>
      <c r="AD267" s="29"/>
      <c r="AE267" s="29"/>
    </row>
    <row r="268" ht="15.75" customHeight="1">
      <c r="C268" s="29"/>
      <c r="E268" s="29"/>
      <c r="I268" s="29"/>
      <c r="K268" s="29"/>
      <c r="L268" s="29"/>
      <c r="W268" s="29"/>
      <c r="X268" s="29"/>
      <c r="Y268" s="29"/>
      <c r="Z268" s="29"/>
      <c r="AB268" s="30"/>
      <c r="AD268" s="29"/>
      <c r="AE268" s="29"/>
    </row>
    <row r="269" ht="15.75" customHeight="1">
      <c r="C269" s="29"/>
      <c r="E269" s="29"/>
      <c r="I269" s="29"/>
      <c r="K269" s="29"/>
      <c r="L269" s="29"/>
      <c r="W269" s="29"/>
      <c r="X269" s="29"/>
      <c r="Y269" s="29"/>
      <c r="Z269" s="29"/>
      <c r="AB269" s="30"/>
      <c r="AD269" s="29"/>
      <c r="AE269" s="29"/>
    </row>
    <row r="270" ht="15.75" customHeight="1">
      <c r="C270" s="29"/>
      <c r="E270" s="29"/>
      <c r="I270" s="29"/>
      <c r="K270" s="29"/>
      <c r="L270" s="29"/>
      <c r="W270" s="29"/>
      <c r="X270" s="29"/>
      <c r="Y270" s="29"/>
      <c r="Z270" s="29"/>
      <c r="AB270" s="30"/>
      <c r="AD270" s="29"/>
      <c r="AE270" s="29"/>
    </row>
    <row r="271" ht="15.75" customHeight="1">
      <c r="C271" s="29"/>
      <c r="E271" s="29"/>
      <c r="I271" s="29"/>
      <c r="K271" s="29"/>
      <c r="L271" s="29"/>
      <c r="W271" s="29"/>
      <c r="X271" s="29"/>
      <c r="Y271" s="29"/>
      <c r="Z271" s="29"/>
      <c r="AB271" s="30"/>
      <c r="AD271" s="29"/>
      <c r="AE271" s="29"/>
    </row>
    <row r="272" ht="15.75" customHeight="1">
      <c r="C272" s="29"/>
      <c r="E272" s="29"/>
      <c r="I272" s="29"/>
      <c r="K272" s="29"/>
      <c r="L272" s="29"/>
      <c r="W272" s="29"/>
      <c r="X272" s="29"/>
      <c r="Y272" s="29"/>
      <c r="Z272" s="29"/>
      <c r="AB272" s="30"/>
      <c r="AD272" s="29"/>
      <c r="AE272" s="29"/>
    </row>
    <row r="273" ht="15.75" customHeight="1">
      <c r="C273" s="29"/>
      <c r="E273" s="29"/>
      <c r="I273" s="29"/>
      <c r="K273" s="29"/>
      <c r="L273" s="29"/>
      <c r="W273" s="29"/>
      <c r="X273" s="29"/>
      <c r="Y273" s="29"/>
      <c r="Z273" s="29"/>
      <c r="AB273" s="30"/>
      <c r="AD273" s="29"/>
      <c r="AE273" s="29"/>
    </row>
    <row r="274" ht="15.75" customHeight="1">
      <c r="C274" s="29"/>
      <c r="E274" s="29"/>
      <c r="I274" s="29"/>
      <c r="K274" s="29"/>
      <c r="L274" s="29"/>
      <c r="W274" s="29"/>
      <c r="X274" s="29"/>
      <c r="Y274" s="29"/>
      <c r="Z274" s="29"/>
      <c r="AB274" s="30"/>
      <c r="AD274" s="29"/>
      <c r="AE274" s="29"/>
    </row>
    <row r="275" ht="15.75" customHeight="1">
      <c r="C275" s="29"/>
      <c r="E275" s="29"/>
      <c r="I275" s="29"/>
      <c r="K275" s="29"/>
      <c r="L275" s="29"/>
      <c r="W275" s="29"/>
      <c r="X275" s="29"/>
      <c r="Y275" s="29"/>
      <c r="Z275" s="29"/>
      <c r="AB275" s="30"/>
      <c r="AD275" s="29"/>
      <c r="AE275" s="29"/>
    </row>
    <row r="276" ht="15.75" customHeight="1">
      <c r="C276" s="29"/>
      <c r="E276" s="29"/>
      <c r="I276" s="29"/>
      <c r="K276" s="29"/>
      <c r="L276" s="29"/>
      <c r="W276" s="29"/>
      <c r="X276" s="29"/>
      <c r="Y276" s="29"/>
      <c r="Z276" s="29"/>
      <c r="AB276" s="30"/>
      <c r="AD276" s="29"/>
      <c r="AE276" s="29"/>
    </row>
    <row r="277" ht="15.75" customHeight="1">
      <c r="C277" s="29"/>
      <c r="E277" s="29"/>
      <c r="I277" s="29"/>
      <c r="K277" s="29"/>
      <c r="L277" s="29"/>
      <c r="W277" s="29"/>
      <c r="X277" s="29"/>
      <c r="Y277" s="29"/>
      <c r="Z277" s="29"/>
      <c r="AB277" s="30"/>
      <c r="AD277" s="29"/>
      <c r="AE277" s="29"/>
    </row>
    <row r="278" ht="15.75" customHeight="1">
      <c r="C278" s="29"/>
      <c r="E278" s="29"/>
      <c r="I278" s="29"/>
      <c r="K278" s="29"/>
      <c r="L278" s="29"/>
      <c r="W278" s="29"/>
      <c r="X278" s="29"/>
      <c r="Y278" s="29"/>
      <c r="Z278" s="29"/>
      <c r="AB278" s="30"/>
      <c r="AD278" s="29"/>
      <c r="AE278" s="29"/>
    </row>
    <row r="279" ht="15.75" customHeight="1">
      <c r="C279" s="29"/>
      <c r="E279" s="29"/>
      <c r="I279" s="29"/>
      <c r="K279" s="29"/>
      <c r="L279" s="29"/>
      <c r="W279" s="29"/>
      <c r="X279" s="29"/>
      <c r="Y279" s="29"/>
      <c r="Z279" s="29"/>
      <c r="AB279" s="30"/>
      <c r="AD279" s="29"/>
      <c r="AE279" s="29"/>
    </row>
    <row r="280" ht="15.75" customHeight="1">
      <c r="C280" s="29"/>
      <c r="E280" s="29"/>
      <c r="I280" s="29"/>
      <c r="K280" s="29"/>
      <c r="L280" s="29"/>
      <c r="W280" s="29"/>
      <c r="X280" s="29"/>
      <c r="Y280" s="29"/>
      <c r="Z280" s="29"/>
      <c r="AB280" s="30"/>
      <c r="AD280" s="29"/>
      <c r="AE280" s="29"/>
    </row>
    <row r="281" ht="15.75" customHeight="1">
      <c r="C281" s="29"/>
      <c r="E281" s="29"/>
      <c r="I281" s="29"/>
      <c r="K281" s="29"/>
      <c r="L281" s="29"/>
      <c r="W281" s="29"/>
      <c r="X281" s="29"/>
      <c r="Y281" s="29"/>
      <c r="Z281" s="29"/>
      <c r="AB281" s="30"/>
      <c r="AD281" s="29"/>
      <c r="AE281" s="29"/>
    </row>
    <row r="282" ht="15.75" customHeight="1">
      <c r="C282" s="29"/>
      <c r="E282" s="29"/>
      <c r="I282" s="29"/>
      <c r="K282" s="29"/>
      <c r="L282" s="29"/>
      <c r="W282" s="29"/>
      <c r="X282" s="29"/>
      <c r="Y282" s="29"/>
      <c r="Z282" s="29"/>
      <c r="AB282" s="30"/>
      <c r="AD282" s="29"/>
      <c r="AE282" s="29"/>
    </row>
    <row r="283" ht="15.75" customHeight="1">
      <c r="C283" s="29"/>
      <c r="E283" s="29"/>
      <c r="I283" s="29"/>
      <c r="K283" s="29"/>
      <c r="L283" s="29"/>
      <c r="W283" s="29"/>
      <c r="X283" s="29"/>
      <c r="Y283" s="29"/>
      <c r="Z283" s="29"/>
      <c r="AB283" s="30"/>
      <c r="AD283" s="29"/>
      <c r="AE283" s="29"/>
    </row>
    <row r="284" ht="15.75" customHeight="1">
      <c r="C284" s="29"/>
      <c r="E284" s="29"/>
      <c r="I284" s="29"/>
      <c r="K284" s="29"/>
      <c r="L284" s="29"/>
      <c r="W284" s="29"/>
      <c r="X284" s="29"/>
      <c r="Y284" s="29"/>
      <c r="Z284" s="29"/>
      <c r="AB284" s="30"/>
      <c r="AD284" s="29"/>
      <c r="AE284" s="29"/>
    </row>
    <row r="285" ht="15.75" customHeight="1">
      <c r="C285" s="29"/>
      <c r="E285" s="29"/>
      <c r="I285" s="29"/>
      <c r="K285" s="29"/>
      <c r="L285" s="29"/>
      <c r="W285" s="29"/>
      <c r="X285" s="29"/>
      <c r="Y285" s="29"/>
      <c r="Z285" s="29"/>
      <c r="AB285" s="30"/>
      <c r="AD285" s="29"/>
      <c r="AE285" s="29"/>
    </row>
    <row r="286" ht="15.75" customHeight="1">
      <c r="C286" s="29"/>
      <c r="E286" s="29"/>
      <c r="I286" s="29"/>
      <c r="K286" s="29"/>
      <c r="L286" s="29"/>
      <c r="W286" s="29"/>
      <c r="X286" s="29"/>
      <c r="Y286" s="29"/>
      <c r="Z286" s="29"/>
      <c r="AB286" s="30"/>
      <c r="AD286" s="29"/>
      <c r="AE286" s="29"/>
    </row>
    <row r="287" ht="15.75" customHeight="1">
      <c r="C287" s="29"/>
      <c r="E287" s="29"/>
      <c r="I287" s="29"/>
      <c r="K287" s="29"/>
      <c r="L287" s="29"/>
      <c r="W287" s="29"/>
      <c r="X287" s="29"/>
      <c r="Y287" s="29"/>
      <c r="Z287" s="29"/>
      <c r="AB287" s="30"/>
      <c r="AD287" s="29"/>
      <c r="AE287" s="29"/>
    </row>
    <row r="288" ht="15.75" customHeight="1">
      <c r="C288" s="29"/>
      <c r="E288" s="29"/>
      <c r="I288" s="29"/>
      <c r="K288" s="29"/>
      <c r="L288" s="29"/>
      <c r="W288" s="29"/>
      <c r="X288" s="29"/>
      <c r="Y288" s="29"/>
      <c r="Z288" s="29"/>
      <c r="AB288" s="30"/>
      <c r="AD288" s="29"/>
      <c r="AE288" s="29"/>
    </row>
    <row r="289" ht="15.75" customHeight="1">
      <c r="C289" s="29"/>
      <c r="E289" s="29"/>
      <c r="I289" s="29"/>
      <c r="K289" s="29"/>
      <c r="L289" s="29"/>
      <c r="W289" s="29"/>
      <c r="X289" s="29"/>
      <c r="Y289" s="29"/>
      <c r="Z289" s="29"/>
      <c r="AB289" s="30"/>
      <c r="AD289" s="29"/>
      <c r="AE289" s="29"/>
    </row>
    <row r="290" ht="15.75" customHeight="1">
      <c r="C290" s="29"/>
      <c r="E290" s="29"/>
      <c r="I290" s="29"/>
      <c r="K290" s="29"/>
      <c r="L290" s="29"/>
      <c r="W290" s="29"/>
      <c r="X290" s="29"/>
      <c r="Y290" s="29"/>
      <c r="Z290" s="29"/>
      <c r="AB290" s="30"/>
      <c r="AD290" s="29"/>
      <c r="AE290" s="29"/>
    </row>
    <row r="291" ht="15.75" customHeight="1">
      <c r="C291" s="29"/>
      <c r="E291" s="29"/>
      <c r="I291" s="29"/>
      <c r="K291" s="29"/>
      <c r="L291" s="29"/>
      <c r="W291" s="29"/>
      <c r="X291" s="29"/>
      <c r="Y291" s="29"/>
      <c r="Z291" s="29"/>
      <c r="AB291" s="30"/>
      <c r="AD291" s="29"/>
      <c r="AE291" s="29"/>
    </row>
    <row r="292" ht="15.75" customHeight="1">
      <c r="C292" s="29"/>
      <c r="E292" s="29"/>
      <c r="I292" s="29"/>
      <c r="K292" s="29"/>
      <c r="L292" s="29"/>
      <c r="W292" s="29"/>
      <c r="X292" s="29"/>
      <c r="Y292" s="29"/>
      <c r="Z292" s="29"/>
      <c r="AB292" s="30"/>
      <c r="AD292" s="29"/>
      <c r="AE292" s="29"/>
    </row>
    <row r="293" ht="15.75" customHeight="1">
      <c r="C293" s="29"/>
      <c r="E293" s="29"/>
      <c r="I293" s="29"/>
      <c r="K293" s="29"/>
      <c r="L293" s="29"/>
      <c r="W293" s="29"/>
      <c r="X293" s="29"/>
      <c r="Y293" s="29"/>
      <c r="Z293" s="29"/>
      <c r="AB293" s="30"/>
      <c r="AD293" s="29"/>
      <c r="AE293" s="29"/>
    </row>
    <row r="294" ht="15.75" customHeight="1">
      <c r="C294" s="29"/>
      <c r="E294" s="29"/>
      <c r="I294" s="29"/>
      <c r="K294" s="29"/>
      <c r="L294" s="29"/>
      <c r="W294" s="29"/>
      <c r="X294" s="29"/>
      <c r="Y294" s="29"/>
      <c r="Z294" s="29"/>
      <c r="AB294" s="30"/>
      <c r="AD294" s="29"/>
      <c r="AE294" s="29"/>
    </row>
    <row r="295" ht="15.75" customHeight="1">
      <c r="C295" s="29"/>
      <c r="E295" s="29"/>
      <c r="I295" s="29"/>
      <c r="K295" s="29"/>
      <c r="L295" s="29"/>
      <c r="W295" s="29"/>
      <c r="X295" s="29"/>
      <c r="Y295" s="29"/>
      <c r="Z295" s="29"/>
      <c r="AB295" s="30"/>
      <c r="AD295" s="29"/>
      <c r="AE295" s="29"/>
    </row>
    <row r="296" ht="15.75" customHeight="1">
      <c r="C296" s="29"/>
      <c r="E296" s="29"/>
      <c r="I296" s="29"/>
      <c r="K296" s="29"/>
      <c r="L296" s="29"/>
      <c r="W296" s="29"/>
      <c r="X296" s="29"/>
      <c r="Y296" s="29"/>
      <c r="Z296" s="29"/>
      <c r="AB296" s="30"/>
      <c r="AD296" s="29"/>
      <c r="AE296" s="29"/>
    </row>
    <row r="297" ht="15.75" customHeight="1">
      <c r="C297" s="29"/>
      <c r="E297" s="29"/>
      <c r="I297" s="29"/>
      <c r="K297" s="29"/>
      <c r="L297" s="29"/>
      <c r="W297" s="29"/>
      <c r="X297" s="29"/>
      <c r="Y297" s="29"/>
      <c r="Z297" s="29"/>
      <c r="AB297" s="30"/>
      <c r="AD297" s="29"/>
      <c r="AE297" s="29"/>
    </row>
    <row r="298" ht="15.75" customHeight="1">
      <c r="C298" s="29"/>
      <c r="E298" s="29"/>
      <c r="I298" s="29"/>
      <c r="K298" s="29"/>
      <c r="L298" s="29"/>
      <c r="W298" s="29"/>
      <c r="X298" s="29"/>
      <c r="Y298" s="29"/>
      <c r="Z298" s="29"/>
      <c r="AB298" s="30"/>
      <c r="AD298" s="29"/>
      <c r="AE298" s="29"/>
    </row>
    <row r="299" ht="15.75" customHeight="1">
      <c r="C299" s="29"/>
      <c r="E299" s="29"/>
      <c r="I299" s="29"/>
      <c r="K299" s="29"/>
      <c r="L299" s="29"/>
      <c r="W299" s="29"/>
      <c r="X299" s="29"/>
      <c r="Y299" s="29"/>
      <c r="Z299" s="29"/>
      <c r="AB299" s="30"/>
      <c r="AD299" s="29"/>
      <c r="AE299" s="29"/>
    </row>
    <row r="300" ht="15.75" customHeight="1">
      <c r="C300" s="29"/>
      <c r="E300" s="29"/>
      <c r="I300" s="29"/>
      <c r="K300" s="29"/>
      <c r="L300" s="29"/>
      <c r="W300" s="29"/>
      <c r="X300" s="29"/>
      <c r="Y300" s="29"/>
      <c r="Z300" s="29"/>
      <c r="AB300" s="30"/>
      <c r="AD300" s="29"/>
      <c r="AE300" s="29"/>
    </row>
    <row r="301" ht="15.75" customHeight="1">
      <c r="C301" s="29"/>
      <c r="E301" s="29"/>
      <c r="I301" s="29"/>
      <c r="K301" s="29"/>
      <c r="L301" s="29"/>
      <c r="W301" s="29"/>
      <c r="X301" s="29"/>
      <c r="Y301" s="29"/>
      <c r="Z301" s="29"/>
      <c r="AB301" s="30"/>
      <c r="AD301" s="29"/>
      <c r="AE301" s="29"/>
    </row>
    <row r="302" ht="15.75" customHeight="1">
      <c r="C302" s="29"/>
      <c r="E302" s="29"/>
      <c r="I302" s="29"/>
      <c r="K302" s="29"/>
      <c r="L302" s="29"/>
      <c r="W302" s="29"/>
      <c r="X302" s="29"/>
      <c r="Y302" s="29"/>
      <c r="Z302" s="29"/>
      <c r="AB302" s="30"/>
      <c r="AD302" s="29"/>
      <c r="AE302" s="29"/>
    </row>
    <row r="303" ht="15.75" customHeight="1">
      <c r="C303" s="29"/>
      <c r="E303" s="29"/>
      <c r="I303" s="29"/>
      <c r="K303" s="29"/>
      <c r="L303" s="29"/>
      <c r="W303" s="29"/>
      <c r="X303" s="29"/>
      <c r="Y303" s="29"/>
      <c r="Z303" s="29"/>
      <c r="AB303" s="30"/>
      <c r="AD303" s="29"/>
      <c r="AE303" s="29"/>
    </row>
    <row r="304" ht="15.75" customHeight="1">
      <c r="C304" s="29"/>
      <c r="E304" s="29"/>
      <c r="I304" s="29"/>
      <c r="K304" s="29"/>
      <c r="L304" s="29"/>
      <c r="W304" s="29"/>
      <c r="X304" s="29"/>
      <c r="Y304" s="29"/>
      <c r="Z304" s="29"/>
      <c r="AB304" s="30"/>
      <c r="AD304" s="29"/>
      <c r="AE304" s="29"/>
    </row>
    <row r="305" ht="15.75" customHeight="1">
      <c r="C305" s="29"/>
      <c r="E305" s="29"/>
      <c r="I305" s="29"/>
      <c r="K305" s="29"/>
      <c r="L305" s="29"/>
      <c r="W305" s="29"/>
      <c r="X305" s="29"/>
      <c r="Y305" s="29"/>
      <c r="Z305" s="29"/>
      <c r="AB305" s="30"/>
      <c r="AD305" s="29"/>
      <c r="AE305" s="29"/>
    </row>
    <row r="306" ht="15.75" customHeight="1">
      <c r="C306" s="29"/>
      <c r="E306" s="29"/>
      <c r="I306" s="29"/>
      <c r="K306" s="29"/>
      <c r="L306" s="29"/>
      <c r="W306" s="29"/>
      <c r="X306" s="29"/>
      <c r="Y306" s="29"/>
      <c r="Z306" s="29"/>
      <c r="AB306" s="30"/>
      <c r="AD306" s="29"/>
      <c r="AE306" s="29"/>
    </row>
    <row r="307" ht="15.75" customHeight="1">
      <c r="C307" s="29"/>
      <c r="E307" s="29"/>
      <c r="I307" s="29"/>
      <c r="K307" s="29"/>
      <c r="L307" s="29"/>
      <c r="W307" s="29"/>
      <c r="X307" s="29"/>
      <c r="Y307" s="29"/>
      <c r="Z307" s="29"/>
      <c r="AB307" s="30"/>
      <c r="AD307" s="29"/>
      <c r="AE307" s="29"/>
    </row>
    <row r="308" ht="15.75" customHeight="1">
      <c r="C308" s="29"/>
      <c r="E308" s="29"/>
      <c r="I308" s="29"/>
      <c r="K308" s="29"/>
      <c r="L308" s="29"/>
      <c r="W308" s="29"/>
      <c r="X308" s="29"/>
      <c r="Y308" s="29"/>
      <c r="Z308" s="29"/>
      <c r="AB308" s="30"/>
      <c r="AD308" s="29"/>
      <c r="AE308" s="29"/>
    </row>
    <row r="309" ht="15.75" customHeight="1">
      <c r="C309" s="29"/>
      <c r="E309" s="29"/>
      <c r="I309" s="29"/>
      <c r="K309" s="29"/>
      <c r="L309" s="29"/>
      <c r="W309" s="29"/>
      <c r="X309" s="29"/>
      <c r="Y309" s="29"/>
      <c r="Z309" s="29"/>
      <c r="AB309" s="30"/>
      <c r="AD309" s="29"/>
      <c r="AE309" s="29"/>
    </row>
    <row r="310" ht="15.75" customHeight="1">
      <c r="C310" s="29"/>
      <c r="E310" s="29"/>
      <c r="I310" s="29"/>
      <c r="K310" s="29"/>
      <c r="L310" s="29"/>
      <c r="W310" s="29"/>
      <c r="X310" s="29"/>
      <c r="Y310" s="29"/>
      <c r="Z310" s="29"/>
      <c r="AB310" s="30"/>
      <c r="AD310" s="29"/>
      <c r="AE310" s="29"/>
    </row>
    <row r="311" ht="15.75" customHeight="1">
      <c r="C311" s="29"/>
      <c r="E311" s="29"/>
      <c r="I311" s="29"/>
      <c r="K311" s="29"/>
      <c r="L311" s="29"/>
      <c r="W311" s="29"/>
      <c r="X311" s="29"/>
      <c r="Y311" s="29"/>
      <c r="Z311" s="29"/>
      <c r="AB311" s="30"/>
      <c r="AD311" s="29"/>
      <c r="AE311" s="29"/>
    </row>
    <row r="312" ht="15.75" customHeight="1">
      <c r="C312" s="29"/>
      <c r="E312" s="29"/>
      <c r="I312" s="29"/>
      <c r="K312" s="29"/>
      <c r="L312" s="29"/>
      <c r="W312" s="29"/>
      <c r="X312" s="29"/>
      <c r="Y312" s="29"/>
      <c r="Z312" s="29"/>
      <c r="AB312" s="30"/>
      <c r="AD312" s="29"/>
      <c r="AE312" s="29"/>
    </row>
    <row r="313" ht="15.75" customHeight="1">
      <c r="C313" s="29"/>
      <c r="E313" s="29"/>
      <c r="I313" s="29"/>
      <c r="K313" s="29"/>
      <c r="L313" s="29"/>
      <c r="W313" s="29"/>
      <c r="X313" s="29"/>
      <c r="Y313" s="29"/>
      <c r="Z313" s="29"/>
      <c r="AB313" s="30"/>
      <c r="AD313" s="29"/>
      <c r="AE313" s="29"/>
    </row>
    <row r="314" ht="15.75" customHeight="1">
      <c r="C314" s="29"/>
      <c r="E314" s="29"/>
      <c r="I314" s="29"/>
      <c r="K314" s="29"/>
      <c r="L314" s="29"/>
      <c r="W314" s="29"/>
      <c r="X314" s="29"/>
      <c r="Y314" s="29"/>
      <c r="Z314" s="29"/>
      <c r="AB314" s="30"/>
      <c r="AD314" s="29"/>
      <c r="AE314" s="29"/>
    </row>
    <row r="315" ht="15.75" customHeight="1">
      <c r="C315" s="29"/>
      <c r="E315" s="29"/>
      <c r="I315" s="29"/>
      <c r="K315" s="29"/>
      <c r="L315" s="29"/>
      <c r="W315" s="29"/>
      <c r="X315" s="29"/>
      <c r="Y315" s="29"/>
      <c r="Z315" s="29"/>
      <c r="AB315" s="30"/>
      <c r="AD315" s="29"/>
      <c r="AE315" s="29"/>
    </row>
    <row r="316" ht="15.75" customHeight="1">
      <c r="C316" s="29"/>
      <c r="E316" s="29"/>
      <c r="I316" s="29"/>
      <c r="K316" s="29"/>
      <c r="L316" s="29"/>
      <c r="W316" s="29"/>
      <c r="X316" s="29"/>
      <c r="Y316" s="29"/>
      <c r="Z316" s="29"/>
      <c r="AB316" s="30"/>
      <c r="AD316" s="29"/>
      <c r="AE316" s="29"/>
    </row>
    <row r="317" ht="15.75" customHeight="1">
      <c r="C317" s="29"/>
      <c r="E317" s="29"/>
      <c r="I317" s="29"/>
      <c r="K317" s="29"/>
      <c r="L317" s="29"/>
      <c r="W317" s="29"/>
      <c r="X317" s="29"/>
      <c r="Y317" s="29"/>
      <c r="Z317" s="29"/>
      <c r="AB317" s="30"/>
      <c r="AD317" s="29"/>
      <c r="AE317" s="29"/>
    </row>
    <row r="318" ht="15.75" customHeight="1">
      <c r="C318" s="29"/>
      <c r="E318" s="29"/>
      <c r="I318" s="29"/>
      <c r="K318" s="29"/>
      <c r="L318" s="29"/>
      <c r="W318" s="29"/>
      <c r="X318" s="29"/>
      <c r="Y318" s="29"/>
      <c r="Z318" s="29"/>
      <c r="AB318" s="30"/>
      <c r="AD318" s="29"/>
      <c r="AE318" s="29"/>
    </row>
    <row r="319" ht="15.75" customHeight="1">
      <c r="C319" s="29"/>
      <c r="E319" s="29"/>
      <c r="I319" s="29"/>
      <c r="K319" s="29"/>
      <c r="L319" s="29"/>
      <c r="W319" s="29"/>
      <c r="X319" s="29"/>
      <c r="Y319" s="29"/>
      <c r="Z319" s="29"/>
      <c r="AB319" s="30"/>
      <c r="AD319" s="29"/>
      <c r="AE319" s="29"/>
    </row>
    <row r="320" ht="15.75" customHeight="1">
      <c r="C320" s="29"/>
      <c r="E320" s="29"/>
      <c r="I320" s="29"/>
      <c r="K320" s="29"/>
      <c r="L320" s="29"/>
      <c r="W320" s="29"/>
      <c r="X320" s="29"/>
      <c r="Y320" s="29"/>
      <c r="Z320" s="29"/>
      <c r="AB320" s="30"/>
      <c r="AD320" s="29"/>
      <c r="AE320" s="29"/>
    </row>
    <row r="321" ht="15.75" customHeight="1">
      <c r="C321" s="29"/>
      <c r="E321" s="29"/>
      <c r="I321" s="29"/>
      <c r="K321" s="29"/>
      <c r="L321" s="29"/>
      <c r="W321" s="29"/>
      <c r="X321" s="29"/>
      <c r="Y321" s="29"/>
      <c r="Z321" s="29"/>
      <c r="AB321" s="30"/>
      <c r="AD321" s="29"/>
      <c r="AE321" s="29"/>
    </row>
    <row r="322" ht="15.75" customHeight="1">
      <c r="C322" s="29"/>
      <c r="E322" s="29"/>
      <c r="I322" s="29"/>
      <c r="K322" s="29"/>
      <c r="L322" s="29"/>
      <c r="W322" s="29"/>
      <c r="X322" s="29"/>
      <c r="Y322" s="29"/>
      <c r="Z322" s="29"/>
      <c r="AB322" s="30"/>
      <c r="AD322" s="29"/>
      <c r="AE322" s="29"/>
    </row>
    <row r="323" ht="15.75" customHeight="1">
      <c r="C323" s="29"/>
      <c r="E323" s="29"/>
      <c r="I323" s="29"/>
      <c r="K323" s="29"/>
      <c r="L323" s="29"/>
      <c r="W323" s="29"/>
      <c r="X323" s="29"/>
      <c r="Y323" s="29"/>
      <c r="Z323" s="29"/>
      <c r="AB323" s="30"/>
      <c r="AD323" s="29"/>
      <c r="AE323" s="29"/>
    </row>
    <row r="324" ht="15.75" customHeight="1">
      <c r="C324" s="29"/>
      <c r="E324" s="29"/>
      <c r="I324" s="29"/>
      <c r="K324" s="29"/>
      <c r="L324" s="29"/>
      <c r="W324" s="29"/>
      <c r="X324" s="29"/>
      <c r="Y324" s="29"/>
      <c r="Z324" s="29"/>
      <c r="AB324" s="30"/>
      <c r="AD324" s="29"/>
      <c r="AE324" s="29"/>
    </row>
    <row r="325" ht="15.75" customHeight="1">
      <c r="C325" s="29"/>
      <c r="E325" s="29"/>
      <c r="I325" s="29"/>
      <c r="K325" s="29"/>
      <c r="L325" s="29"/>
      <c r="W325" s="29"/>
      <c r="X325" s="29"/>
      <c r="Y325" s="29"/>
      <c r="Z325" s="29"/>
      <c r="AB325" s="30"/>
      <c r="AD325" s="29"/>
      <c r="AE325" s="29"/>
    </row>
    <row r="326" ht="15.75" customHeight="1">
      <c r="C326" s="29"/>
      <c r="E326" s="29"/>
      <c r="I326" s="29"/>
      <c r="K326" s="29"/>
      <c r="L326" s="29"/>
      <c r="W326" s="29"/>
      <c r="X326" s="29"/>
      <c r="Y326" s="29"/>
      <c r="Z326" s="29"/>
      <c r="AB326" s="30"/>
      <c r="AD326" s="29"/>
      <c r="AE326" s="29"/>
    </row>
    <row r="327" ht="15.75" customHeight="1">
      <c r="C327" s="29"/>
      <c r="E327" s="29"/>
      <c r="I327" s="29"/>
      <c r="K327" s="29"/>
      <c r="L327" s="29"/>
      <c r="W327" s="29"/>
      <c r="X327" s="29"/>
      <c r="Y327" s="29"/>
      <c r="Z327" s="29"/>
      <c r="AB327" s="30"/>
      <c r="AD327" s="29"/>
      <c r="AE327" s="29"/>
    </row>
    <row r="328" ht="15.75" customHeight="1">
      <c r="C328" s="29"/>
      <c r="E328" s="29"/>
      <c r="I328" s="29"/>
      <c r="K328" s="29"/>
      <c r="L328" s="29"/>
      <c r="W328" s="29"/>
      <c r="X328" s="29"/>
      <c r="Y328" s="29"/>
      <c r="Z328" s="29"/>
      <c r="AB328" s="30"/>
      <c r="AD328" s="29"/>
      <c r="AE328" s="29"/>
    </row>
    <row r="329" ht="15.75" customHeight="1">
      <c r="C329" s="29"/>
      <c r="E329" s="29"/>
      <c r="I329" s="29"/>
      <c r="K329" s="29"/>
      <c r="L329" s="29"/>
      <c r="W329" s="29"/>
      <c r="X329" s="29"/>
      <c r="Y329" s="29"/>
      <c r="Z329" s="29"/>
      <c r="AB329" s="30"/>
      <c r="AD329" s="29"/>
      <c r="AE329" s="29"/>
    </row>
    <row r="330" ht="15.75" customHeight="1">
      <c r="C330" s="29"/>
      <c r="E330" s="29"/>
      <c r="I330" s="29"/>
      <c r="K330" s="29"/>
      <c r="L330" s="29"/>
      <c r="W330" s="29"/>
      <c r="X330" s="29"/>
      <c r="Y330" s="29"/>
      <c r="Z330" s="29"/>
      <c r="AB330" s="30"/>
      <c r="AD330" s="29"/>
      <c r="AE330" s="29"/>
    </row>
    <row r="331" ht="15.75" customHeight="1">
      <c r="C331" s="29"/>
      <c r="E331" s="29"/>
      <c r="I331" s="29"/>
      <c r="K331" s="29"/>
      <c r="L331" s="29"/>
      <c r="W331" s="29"/>
      <c r="X331" s="29"/>
      <c r="Y331" s="29"/>
      <c r="Z331" s="29"/>
      <c r="AB331" s="30"/>
      <c r="AD331" s="29"/>
      <c r="AE331" s="29"/>
    </row>
    <row r="332" ht="15.75" customHeight="1">
      <c r="C332" s="29"/>
      <c r="E332" s="29"/>
      <c r="I332" s="29"/>
      <c r="K332" s="29"/>
      <c r="L332" s="29"/>
      <c r="W332" s="29"/>
      <c r="X332" s="29"/>
      <c r="Y332" s="29"/>
      <c r="Z332" s="29"/>
      <c r="AB332" s="30"/>
      <c r="AD332" s="29"/>
      <c r="AE332" s="29"/>
    </row>
    <row r="333" ht="15.75" customHeight="1">
      <c r="C333" s="29"/>
      <c r="E333" s="29"/>
      <c r="I333" s="29"/>
      <c r="K333" s="29"/>
      <c r="L333" s="29"/>
      <c r="W333" s="29"/>
      <c r="X333" s="29"/>
      <c r="Y333" s="29"/>
      <c r="Z333" s="29"/>
      <c r="AB333" s="30"/>
      <c r="AD333" s="29"/>
      <c r="AE333" s="29"/>
    </row>
    <row r="334" ht="15.75" customHeight="1">
      <c r="C334" s="29"/>
      <c r="E334" s="29"/>
      <c r="I334" s="29"/>
      <c r="K334" s="29"/>
      <c r="L334" s="29"/>
      <c r="W334" s="29"/>
      <c r="X334" s="29"/>
      <c r="Y334" s="29"/>
      <c r="Z334" s="29"/>
      <c r="AB334" s="30"/>
      <c r="AD334" s="29"/>
      <c r="AE334" s="29"/>
    </row>
    <row r="335" ht="15.75" customHeight="1">
      <c r="C335" s="29"/>
      <c r="E335" s="29"/>
      <c r="I335" s="29"/>
      <c r="K335" s="29"/>
      <c r="L335" s="29"/>
      <c r="W335" s="29"/>
      <c r="X335" s="29"/>
      <c r="Y335" s="29"/>
      <c r="Z335" s="29"/>
      <c r="AB335" s="30"/>
      <c r="AD335" s="29"/>
      <c r="AE335" s="29"/>
    </row>
    <row r="336" ht="15.75" customHeight="1">
      <c r="C336" s="29"/>
      <c r="E336" s="29"/>
      <c r="I336" s="29"/>
      <c r="K336" s="29"/>
      <c r="L336" s="29"/>
      <c r="W336" s="29"/>
      <c r="X336" s="29"/>
      <c r="Y336" s="29"/>
      <c r="Z336" s="29"/>
      <c r="AB336" s="30"/>
      <c r="AD336" s="29"/>
      <c r="AE336" s="29"/>
    </row>
    <row r="337" ht="15.75" customHeight="1">
      <c r="C337" s="29"/>
      <c r="E337" s="29"/>
      <c r="I337" s="29"/>
      <c r="K337" s="29"/>
      <c r="L337" s="29"/>
      <c r="W337" s="29"/>
      <c r="X337" s="29"/>
      <c r="Y337" s="29"/>
      <c r="Z337" s="29"/>
      <c r="AB337" s="30"/>
      <c r="AD337" s="29"/>
      <c r="AE337" s="29"/>
    </row>
    <row r="338" ht="15.75" customHeight="1">
      <c r="C338" s="29"/>
      <c r="E338" s="29"/>
      <c r="I338" s="29"/>
      <c r="K338" s="29"/>
      <c r="L338" s="29"/>
      <c r="W338" s="29"/>
      <c r="X338" s="29"/>
      <c r="Y338" s="29"/>
      <c r="Z338" s="29"/>
      <c r="AB338" s="30"/>
      <c r="AD338" s="29"/>
      <c r="AE338" s="29"/>
    </row>
    <row r="339" ht="15.75" customHeight="1">
      <c r="C339" s="29"/>
      <c r="E339" s="29"/>
      <c r="I339" s="29"/>
      <c r="K339" s="29"/>
      <c r="L339" s="29"/>
      <c r="W339" s="29"/>
      <c r="X339" s="29"/>
      <c r="Y339" s="29"/>
      <c r="Z339" s="29"/>
      <c r="AB339" s="30"/>
      <c r="AD339" s="29"/>
      <c r="AE339" s="29"/>
    </row>
    <row r="340" ht="15.75" customHeight="1">
      <c r="C340" s="29"/>
      <c r="E340" s="29"/>
      <c r="I340" s="29"/>
      <c r="K340" s="29"/>
      <c r="L340" s="29"/>
      <c r="W340" s="29"/>
      <c r="X340" s="29"/>
      <c r="Y340" s="29"/>
      <c r="Z340" s="29"/>
      <c r="AB340" s="30"/>
      <c r="AD340" s="29"/>
      <c r="AE340" s="29"/>
    </row>
    <row r="341" ht="15.75" customHeight="1">
      <c r="C341" s="29"/>
      <c r="E341" s="29"/>
      <c r="I341" s="29"/>
      <c r="K341" s="29"/>
      <c r="L341" s="29"/>
      <c r="W341" s="29"/>
      <c r="X341" s="29"/>
      <c r="Y341" s="29"/>
      <c r="Z341" s="29"/>
      <c r="AB341" s="30"/>
      <c r="AD341" s="29"/>
      <c r="AE341" s="29"/>
    </row>
    <row r="342" ht="15.75" customHeight="1">
      <c r="C342" s="29"/>
      <c r="E342" s="29"/>
      <c r="I342" s="29"/>
      <c r="K342" s="29"/>
      <c r="L342" s="29"/>
      <c r="W342" s="29"/>
      <c r="X342" s="29"/>
      <c r="Y342" s="29"/>
      <c r="Z342" s="29"/>
      <c r="AB342" s="30"/>
      <c r="AD342" s="29"/>
      <c r="AE342" s="29"/>
    </row>
    <row r="343" ht="15.75" customHeight="1">
      <c r="C343" s="29"/>
      <c r="E343" s="29"/>
      <c r="I343" s="29"/>
      <c r="K343" s="29"/>
      <c r="L343" s="29"/>
      <c r="W343" s="29"/>
      <c r="X343" s="29"/>
      <c r="Y343" s="29"/>
      <c r="Z343" s="29"/>
      <c r="AB343" s="30"/>
      <c r="AD343" s="29"/>
      <c r="AE343" s="29"/>
    </row>
    <row r="344" ht="15.75" customHeight="1">
      <c r="C344" s="29"/>
      <c r="E344" s="29"/>
      <c r="I344" s="29"/>
      <c r="K344" s="29"/>
      <c r="L344" s="29"/>
      <c r="W344" s="29"/>
      <c r="X344" s="29"/>
      <c r="Y344" s="29"/>
      <c r="Z344" s="29"/>
      <c r="AB344" s="30"/>
      <c r="AD344" s="29"/>
      <c r="AE344" s="29"/>
    </row>
    <row r="345" ht="15.75" customHeight="1">
      <c r="C345" s="29"/>
      <c r="E345" s="29"/>
      <c r="I345" s="29"/>
      <c r="K345" s="29"/>
      <c r="L345" s="29"/>
      <c r="W345" s="29"/>
      <c r="X345" s="29"/>
      <c r="Y345" s="29"/>
      <c r="Z345" s="29"/>
      <c r="AB345" s="30"/>
      <c r="AD345" s="29"/>
      <c r="AE345" s="29"/>
    </row>
    <row r="346" ht="15.75" customHeight="1">
      <c r="C346" s="29"/>
      <c r="E346" s="29"/>
      <c r="I346" s="29"/>
      <c r="K346" s="29"/>
      <c r="L346" s="29"/>
      <c r="W346" s="29"/>
      <c r="X346" s="29"/>
      <c r="Y346" s="29"/>
      <c r="Z346" s="29"/>
      <c r="AB346" s="30"/>
      <c r="AD346" s="29"/>
      <c r="AE346" s="29"/>
    </row>
    <row r="347" ht="15.75" customHeight="1">
      <c r="C347" s="29"/>
      <c r="E347" s="29"/>
      <c r="I347" s="29"/>
      <c r="K347" s="29"/>
      <c r="L347" s="29"/>
      <c r="W347" s="29"/>
      <c r="X347" s="29"/>
      <c r="Y347" s="29"/>
      <c r="Z347" s="29"/>
      <c r="AB347" s="30"/>
      <c r="AD347" s="29"/>
      <c r="AE347" s="29"/>
    </row>
    <row r="348" ht="15.75" customHeight="1">
      <c r="C348" s="29"/>
      <c r="E348" s="29"/>
      <c r="I348" s="29"/>
      <c r="K348" s="29"/>
      <c r="L348" s="29"/>
      <c r="W348" s="29"/>
      <c r="X348" s="29"/>
      <c r="Y348" s="29"/>
      <c r="Z348" s="29"/>
      <c r="AB348" s="30"/>
      <c r="AD348" s="29"/>
      <c r="AE348" s="29"/>
    </row>
    <row r="349" ht="15.75" customHeight="1">
      <c r="C349" s="29"/>
      <c r="E349" s="29"/>
      <c r="I349" s="29"/>
      <c r="K349" s="29"/>
      <c r="L349" s="29"/>
      <c r="W349" s="29"/>
      <c r="X349" s="29"/>
      <c r="Y349" s="29"/>
      <c r="Z349" s="29"/>
      <c r="AB349" s="30"/>
      <c r="AD349" s="29"/>
      <c r="AE349" s="29"/>
    </row>
    <row r="350" ht="15.75" customHeight="1">
      <c r="C350" s="29"/>
      <c r="E350" s="29"/>
      <c r="I350" s="29"/>
      <c r="K350" s="29"/>
      <c r="L350" s="29"/>
      <c r="W350" s="29"/>
      <c r="X350" s="29"/>
      <c r="Y350" s="29"/>
      <c r="Z350" s="29"/>
      <c r="AB350" s="30"/>
      <c r="AD350" s="29"/>
      <c r="AE350" s="29"/>
    </row>
    <row r="351" ht="15.75" customHeight="1">
      <c r="C351" s="29"/>
      <c r="E351" s="29"/>
      <c r="I351" s="29"/>
      <c r="K351" s="29"/>
      <c r="L351" s="29"/>
      <c r="W351" s="29"/>
      <c r="X351" s="29"/>
      <c r="Y351" s="29"/>
      <c r="Z351" s="29"/>
      <c r="AB351" s="30"/>
      <c r="AD351" s="29"/>
      <c r="AE351" s="29"/>
    </row>
    <row r="352" ht="15.75" customHeight="1">
      <c r="C352" s="29"/>
      <c r="E352" s="29"/>
      <c r="I352" s="29"/>
      <c r="K352" s="29"/>
      <c r="L352" s="29"/>
      <c r="W352" s="29"/>
      <c r="X352" s="29"/>
      <c r="Y352" s="29"/>
      <c r="Z352" s="29"/>
      <c r="AB352" s="30"/>
      <c r="AD352" s="29"/>
      <c r="AE352" s="29"/>
    </row>
    <row r="353" ht="15.75" customHeight="1">
      <c r="C353" s="29"/>
      <c r="E353" s="29"/>
      <c r="I353" s="29"/>
      <c r="K353" s="29"/>
      <c r="L353" s="29"/>
      <c r="W353" s="29"/>
      <c r="X353" s="29"/>
      <c r="Y353" s="29"/>
      <c r="Z353" s="29"/>
      <c r="AB353" s="30"/>
      <c r="AD353" s="29"/>
      <c r="AE353" s="29"/>
    </row>
    <row r="354" ht="15.75" customHeight="1">
      <c r="C354" s="29"/>
      <c r="E354" s="29"/>
      <c r="I354" s="29"/>
      <c r="K354" s="29"/>
      <c r="L354" s="29"/>
      <c r="W354" s="29"/>
      <c r="X354" s="29"/>
      <c r="Y354" s="29"/>
      <c r="Z354" s="29"/>
      <c r="AB354" s="30"/>
      <c r="AD354" s="29"/>
      <c r="AE354" s="29"/>
    </row>
    <row r="355" ht="15.75" customHeight="1">
      <c r="C355" s="29"/>
      <c r="E355" s="29"/>
      <c r="I355" s="29"/>
      <c r="K355" s="29"/>
      <c r="L355" s="29"/>
      <c r="W355" s="29"/>
      <c r="X355" s="29"/>
      <c r="Y355" s="29"/>
      <c r="Z355" s="29"/>
      <c r="AB355" s="30"/>
      <c r="AD355" s="29"/>
      <c r="AE355" s="29"/>
    </row>
    <row r="356" ht="15.75" customHeight="1">
      <c r="C356" s="29"/>
      <c r="E356" s="29"/>
      <c r="I356" s="29"/>
      <c r="K356" s="29"/>
      <c r="L356" s="29"/>
      <c r="W356" s="29"/>
      <c r="X356" s="29"/>
      <c r="Y356" s="29"/>
      <c r="Z356" s="29"/>
      <c r="AB356" s="30"/>
      <c r="AD356" s="29"/>
      <c r="AE356" s="29"/>
    </row>
    <row r="357" ht="15.75" customHeight="1">
      <c r="C357" s="29"/>
      <c r="E357" s="29"/>
      <c r="I357" s="29"/>
      <c r="K357" s="29"/>
      <c r="L357" s="29"/>
      <c r="W357" s="29"/>
      <c r="X357" s="29"/>
      <c r="Y357" s="29"/>
      <c r="Z357" s="29"/>
      <c r="AB357" s="30"/>
      <c r="AD357" s="29"/>
      <c r="AE357" s="29"/>
    </row>
    <row r="358" ht="15.75" customHeight="1">
      <c r="C358" s="29"/>
      <c r="E358" s="29"/>
      <c r="I358" s="29"/>
      <c r="K358" s="29"/>
      <c r="L358" s="29"/>
      <c r="W358" s="29"/>
      <c r="X358" s="29"/>
      <c r="Y358" s="29"/>
      <c r="Z358" s="29"/>
      <c r="AB358" s="30"/>
      <c r="AD358" s="29"/>
      <c r="AE358" s="29"/>
    </row>
    <row r="359" ht="15.75" customHeight="1">
      <c r="C359" s="29"/>
      <c r="E359" s="29"/>
      <c r="I359" s="29"/>
      <c r="K359" s="29"/>
      <c r="L359" s="29"/>
      <c r="W359" s="29"/>
      <c r="X359" s="29"/>
      <c r="Y359" s="29"/>
      <c r="Z359" s="29"/>
      <c r="AB359" s="30"/>
      <c r="AD359" s="29"/>
      <c r="AE359" s="29"/>
    </row>
    <row r="360" ht="15.75" customHeight="1">
      <c r="C360" s="29"/>
      <c r="E360" s="29"/>
      <c r="I360" s="29"/>
      <c r="K360" s="29"/>
      <c r="L360" s="29"/>
      <c r="W360" s="29"/>
      <c r="X360" s="29"/>
      <c r="Y360" s="29"/>
      <c r="Z360" s="29"/>
      <c r="AB360" s="30"/>
      <c r="AD360" s="29"/>
      <c r="AE360" s="29"/>
    </row>
    <row r="361" ht="15.75" customHeight="1">
      <c r="C361" s="29"/>
      <c r="E361" s="29"/>
      <c r="I361" s="29"/>
      <c r="K361" s="29"/>
      <c r="L361" s="29"/>
      <c r="W361" s="29"/>
      <c r="X361" s="29"/>
      <c r="Y361" s="29"/>
      <c r="Z361" s="29"/>
      <c r="AB361" s="30"/>
      <c r="AD361" s="29"/>
      <c r="AE361" s="29"/>
    </row>
    <row r="362" ht="15.75" customHeight="1">
      <c r="C362" s="29"/>
      <c r="E362" s="29"/>
      <c r="I362" s="29"/>
      <c r="K362" s="29"/>
      <c r="L362" s="29"/>
      <c r="W362" s="29"/>
      <c r="X362" s="29"/>
      <c r="Y362" s="29"/>
      <c r="Z362" s="29"/>
      <c r="AB362" s="30"/>
      <c r="AD362" s="29"/>
      <c r="AE362" s="29"/>
    </row>
    <row r="363" ht="15.75" customHeight="1">
      <c r="C363" s="29"/>
      <c r="E363" s="29"/>
      <c r="I363" s="29"/>
      <c r="K363" s="29"/>
      <c r="L363" s="29"/>
      <c r="W363" s="29"/>
      <c r="X363" s="29"/>
      <c r="Y363" s="29"/>
      <c r="Z363" s="29"/>
      <c r="AB363" s="30"/>
      <c r="AD363" s="29"/>
      <c r="AE363" s="29"/>
    </row>
    <row r="364" ht="15.75" customHeight="1">
      <c r="C364" s="29"/>
      <c r="E364" s="29"/>
      <c r="I364" s="29"/>
      <c r="K364" s="29"/>
      <c r="L364" s="29"/>
      <c r="W364" s="29"/>
      <c r="X364" s="29"/>
      <c r="Y364" s="29"/>
      <c r="Z364" s="29"/>
      <c r="AB364" s="30"/>
      <c r="AD364" s="29"/>
      <c r="AE364" s="29"/>
    </row>
    <row r="365" ht="15.75" customHeight="1">
      <c r="C365" s="29"/>
      <c r="E365" s="29"/>
      <c r="I365" s="29"/>
      <c r="K365" s="29"/>
      <c r="L365" s="29"/>
      <c r="W365" s="29"/>
      <c r="X365" s="29"/>
      <c r="Y365" s="29"/>
      <c r="Z365" s="29"/>
      <c r="AB365" s="30"/>
      <c r="AD365" s="29"/>
      <c r="AE365" s="29"/>
    </row>
    <row r="366" ht="15.75" customHeight="1">
      <c r="C366" s="29"/>
      <c r="E366" s="29"/>
      <c r="I366" s="29"/>
      <c r="K366" s="29"/>
      <c r="L366" s="29"/>
      <c r="W366" s="29"/>
      <c r="X366" s="29"/>
      <c r="Y366" s="29"/>
      <c r="Z366" s="29"/>
      <c r="AB366" s="30"/>
      <c r="AD366" s="29"/>
      <c r="AE366" s="29"/>
    </row>
    <row r="367" ht="15.75" customHeight="1">
      <c r="C367" s="29"/>
      <c r="E367" s="29"/>
      <c r="I367" s="29"/>
      <c r="K367" s="29"/>
      <c r="L367" s="29"/>
      <c r="W367" s="29"/>
      <c r="X367" s="29"/>
      <c r="Y367" s="29"/>
      <c r="Z367" s="29"/>
      <c r="AB367" s="30"/>
      <c r="AD367" s="29"/>
      <c r="AE367" s="29"/>
    </row>
    <row r="368" ht="15.75" customHeight="1">
      <c r="C368" s="29"/>
      <c r="E368" s="29"/>
      <c r="I368" s="29"/>
      <c r="K368" s="29"/>
      <c r="L368" s="29"/>
      <c r="W368" s="29"/>
      <c r="X368" s="29"/>
      <c r="Y368" s="29"/>
      <c r="Z368" s="29"/>
      <c r="AB368" s="30"/>
      <c r="AD368" s="29"/>
      <c r="AE368" s="29"/>
    </row>
    <row r="369" ht="15.75" customHeight="1">
      <c r="C369" s="29"/>
      <c r="E369" s="29"/>
      <c r="I369" s="29"/>
      <c r="K369" s="29"/>
      <c r="L369" s="29"/>
      <c r="W369" s="29"/>
      <c r="X369" s="29"/>
      <c r="Y369" s="29"/>
      <c r="Z369" s="29"/>
      <c r="AB369" s="30"/>
      <c r="AD369" s="29"/>
      <c r="AE369" s="29"/>
    </row>
    <row r="370" ht="15.75" customHeight="1">
      <c r="C370" s="29"/>
      <c r="E370" s="29"/>
      <c r="I370" s="29"/>
      <c r="K370" s="29"/>
      <c r="L370" s="29"/>
      <c r="W370" s="29"/>
      <c r="X370" s="29"/>
      <c r="Y370" s="29"/>
      <c r="Z370" s="29"/>
      <c r="AB370" s="30"/>
      <c r="AD370" s="29"/>
      <c r="AE370" s="29"/>
    </row>
    <row r="371" ht="15.75" customHeight="1">
      <c r="C371" s="29"/>
      <c r="E371" s="29"/>
      <c r="I371" s="29"/>
      <c r="K371" s="29"/>
      <c r="L371" s="29"/>
      <c r="W371" s="29"/>
      <c r="X371" s="29"/>
      <c r="Y371" s="29"/>
      <c r="Z371" s="29"/>
      <c r="AB371" s="30"/>
      <c r="AD371" s="29"/>
      <c r="AE371" s="29"/>
    </row>
    <row r="372" ht="15.75" customHeight="1">
      <c r="C372" s="29"/>
      <c r="E372" s="29"/>
      <c r="I372" s="29"/>
      <c r="K372" s="29"/>
      <c r="L372" s="29"/>
      <c r="W372" s="29"/>
      <c r="X372" s="29"/>
      <c r="Y372" s="29"/>
      <c r="Z372" s="29"/>
      <c r="AB372" s="30"/>
      <c r="AD372" s="29"/>
      <c r="AE372" s="29"/>
    </row>
    <row r="373" ht="15.75" customHeight="1">
      <c r="C373" s="29"/>
      <c r="E373" s="29"/>
      <c r="I373" s="29"/>
      <c r="K373" s="29"/>
      <c r="L373" s="29"/>
      <c r="W373" s="29"/>
      <c r="X373" s="29"/>
      <c r="Y373" s="29"/>
      <c r="Z373" s="29"/>
      <c r="AB373" s="30"/>
      <c r="AD373" s="29"/>
      <c r="AE373" s="29"/>
    </row>
    <row r="374" ht="15.75" customHeight="1">
      <c r="C374" s="29"/>
      <c r="E374" s="29"/>
      <c r="I374" s="29"/>
      <c r="K374" s="29"/>
      <c r="L374" s="29"/>
      <c r="W374" s="29"/>
      <c r="X374" s="29"/>
      <c r="Y374" s="29"/>
      <c r="Z374" s="29"/>
      <c r="AB374" s="30"/>
      <c r="AD374" s="29"/>
      <c r="AE374" s="29"/>
    </row>
    <row r="375" ht="15.75" customHeight="1">
      <c r="C375" s="29"/>
      <c r="E375" s="29"/>
      <c r="I375" s="29"/>
      <c r="K375" s="29"/>
      <c r="L375" s="29"/>
      <c r="W375" s="29"/>
      <c r="X375" s="29"/>
      <c r="Y375" s="29"/>
      <c r="Z375" s="29"/>
      <c r="AB375" s="30"/>
      <c r="AD375" s="29"/>
      <c r="AE375" s="29"/>
    </row>
    <row r="376" ht="15.75" customHeight="1">
      <c r="C376" s="29"/>
      <c r="E376" s="29"/>
      <c r="I376" s="29"/>
      <c r="K376" s="29"/>
      <c r="L376" s="29"/>
      <c r="W376" s="29"/>
      <c r="X376" s="29"/>
      <c r="Y376" s="29"/>
      <c r="Z376" s="29"/>
      <c r="AB376" s="30"/>
      <c r="AD376" s="29"/>
      <c r="AE376" s="29"/>
    </row>
    <row r="377" ht="15.75" customHeight="1">
      <c r="C377" s="29"/>
      <c r="E377" s="29"/>
      <c r="I377" s="29"/>
      <c r="K377" s="29"/>
      <c r="L377" s="29"/>
      <c r="W377" s="29"/>
      <c r="X377" s="29"/>
      <c r="Y377" s="29"/>
      <c r="Z377" s="29"/>
      <c r="AB377" s="30"/>
      <c r="AD377" s="29"/>
      <c r="AE377" s="29"/>
    </row>
    <row r="378" ht="15.75" customHeight="1">
      <c r="C378" s="29"/>
      <c r="E378" s="29"/>
      <c r="I378" s="29"/>
      <c r="K378" s="29"/>
      <c r="L378" s="29"/>
      <c r="W378" s="29"/>
      <c r="X378" s="29"/>
      <c r="Y378" s="29"/>
      <c r="Z378" s="29"/>
      <c r="AB378" s="30"/>
      <c r="AD378" s="29"/>
      <c r="AE378" s="29"/>
    </row>
    <row r="379" ht="15.75" customHeight="1">
      <c r="C379" s="29"/>
      <c r="E379" s="29"/>
      <c r="I379" s="29"/>
      <c r="K379" s="29"/>
      <c r="L379" s="29"/>
      <c r="W379" s="29"/>
      <c r="X379" s="29"/>
      <c r="Y379" s="29"/>
      <c r="Z379" s="29"/>
      <c r="AB379" s="30"/>
      <c r="AD379" s="29"/>
      <c r="AE379" s="29"/>
    </row>
    <row r="380" ht="15.75" customHeight="1">
      <c r="C380" s="29"/>
      <c r="E380" s="29"/>
      <c r="I380" s="29"/>
      <c r="K380" s="29"/>
      <c r="L380" s="29"/>
      <c r="W380" s="29"/>
      <c r="X380" s="29"/>
      <c r="Y380" s="29"/>
      <c r="Z380" s="29"/>
      <c r="AB380" s="30"/>
      <c r="AD380" s="29"/>
      <c r="AE380" s="29"/>
    </row>
    <row r="381" ht="15.75" customHeight="1">
      <c r="C381" s="29"/>
      <c r="E381" s="29"/>
      <c r="I381" s="29"/>
      <c r="K381" s="29"/>
      <c r="L381" s="29"/>
      <c r="W381" s="29"/>
      <c r="X381" s="29"/>
      <c r="Y381" s="29"/>
      <c r="Z381" s="29"/>
      <c r="AB381" s="30"/>
      <c r="AD381" s="29"/>
      <c r="AE381" s="29"/>
    </row>
    <row r="382" ht="15.75" customHeight="1">
      <c r="C382" s="29"/>
      <c r="E382" s="29"/>
      <c r="I382" s="29"/>
      <c r="K382" s="29"/>
      <c r="L382" s="29"/>
      <c r="W382" s="29"/>
      <c r="X382" s="29"/>
      <c r="Y382" s="29"/>
      <c r="Z382" s="29"/>
      <c r="AB382" s="30"/>
      <c r="AD382" s="29"/>
      <c r="AE382" s="29"/>
    </row>
    <row r="383" ht="15.75" customHeight="1">
      <c r="C383" s="29"/>
      <c r="E383" s="29"/>
      <c r="I383" s="29"/>
      <c r="K383" s="29"/>
      <c r="L383" s="29"/>
      <c r="W383" s="29"/>
      <c r="X383" s="29"/>
      <c r="Y383" s="29"/>
      <c r="Z383" s="29"/>
      <c r="AB383" s="30"/>
      <c r="AD383" s="29"/>
      <c r="AE383" s="29"/>
    </row>
    <row r="384" ht="15.75" customHeight="1">
      <c r="C384" s="29"/>
      <c r="E384" s="29"/>
      <c r="I384" s="29"/>
      <c r="K384" s="29"/>
      <c r="L384" s="29"/>
      <c r="W384" s="29"/>
      <c r="X384" s="29"/>
      <c r="Y384" s="29"/>
      <c r="Z384" s="29"/>
      <c r="AB384" s="30"/>
      <c r="AD384" s="29"/>
      <c r="AE384" s="29"/>
    </row>
    <row r="385" ht="15.75" customHeight="1">
      <c r="C385" s="29"/>
      <c r="E385" s="29"/>
      <c r="I385" s="29"/>
      <c r="K385" s="29"/>
      <c r="L385" s="29"/>
      <c r="W385" s="29"/>
      <c r="X385" s="29"/>
      <c r="Y385" s="29"/>
      <c r="Z385" s="29"/>
      <c r="AB385" s="30"/>
      <c r="AD385" s="29"/>
      <c r="AE385" s="29"/>
    </row>
    <row r="386" ht="15.75" customHeight="1">
      <c r="C386" s="29"/>
      <c r="E386" s="29"/>
      <c r="I386" s="29"/>
      <c r="K386" s="29"/>
      <c r="L386" s="29"/>
      <c r="W386" s="29"/>
      <c r="X386" s="29"/>
      <c r="Y386" s="29"/>
      <c r="Z386" s="29"/>
      <c r="AB386" s="30"/>
      <c r="AD386" s="29"/>
      <c r="AE386" s="29"/>
    </row>
    <row r="387" ht="15.75" customHeight="1">
      <c r="C387" s="29"/>
      <c r="E387" s="29"/>
      <c r="I387" s="29"/>
      <c r="K387" s="29"/>
      <c r="L387" s="29"/>
      <c r="W387" s="29"/>
      <c r="X387" s="29"/>
      <c r="Y387" s="29"/>
      <c r="Z387" s="29"/>
      <c r="AB387" s="30"/>
      <c r="AD387" s="29"/>
      <c r="AE387" s="29"/>
    </row>
    <row r="388" ht="15.75" customHeight="1">
      <c r="C388" s="29"/>
      <c r="E388" s="29"/>
      <c r="I388" s="29"/>
      <c r="K388" s="29"/>
      <c r="L388" s="29"/>
      <c r="W388" s="29"/>
      <c r="X388" s="29"/>
      <c r="Y388" s="29"/>
      <c r="Z388" s="29"/>
      <c r="AB388" s="30"/>
      <c r="AD388" s="29"/>
      <c r="AE388" s="29"/>
    </row>
    <row r="389" ht="15.75" customHeight="1">
      <c r="C389" s="29"/>
      <c r="E389" s="29"/>
      <c r="I389" s="29"/>
      <c r="K389" s="29"/>
      <c r="L389" s="29"/>
      <c r="W389" s="29"/>
      <c r="X389" s="29"/>
      <c r="Y389" s="29"/>
      <c r="Z389" s="29"/>
      <c r="AB389" s="30"/>
      <c r="AD389" s="29"/>
      <c r="AE389" s="29"/>
    </row>
    <row r="390" ht="15.75" customHeight="1">
      <c r="C390" s="29"/>
      <c r="E390" s="29"/>
      <c r="I390" s="29"/>
      <c r="K390" s="29"/>
      <c r="L390" s="29"/>
      <c r="W390" s="29"/>
      <c r="X390" s="29"/>
      <c r="Y390" s="29"/>
      <c r="Z390" s="29"/>
      <c r="AB390" s="30"/>
      <c r="AD390" s="29"/>
      <c r="AE390" s="29"/>
    </row>
    <row r="391" ht="15.75" customHeight="1">
      <c r="C391" s="29"/>
      <c r="E391" s="29"/>
      <c r="I391" s="29"/>
      <c r="K391" s="29"/>
      <c r="L391" s="29"/>
      <c r="W391" s="29"/>
      <c r="X391" s="29"/>
      <c r="Y391" s="29"/>
      <c r="Z391" s="29"/>
      <c r="AB391" s="30"/>
      <c r="AD391" s="29"/>
      <c r="AE391" s="29"/>
    </row>
    <row r="392" ht="15.75" customHeight="1">
      <c r="C392" s="29"/>
      <c r="E392" s="29"/>
      <c r="I392" s="29"/>
      <c r="K392" s="29"/>
      <c r="L392" s="29"/>
      <c r="W392" s="29"/>
      <c r="X392" s="29"/>
      <c r="Y392" s="29"/>
      <c r="Z392" s="29"/>
      <c r="AB392" s="30"/>
      <c r="AD392" s="29"/>
      <c r="AE392" s="29"/>
    </row>
    <row r="393" ht="15.75" customHeight="1">
      <c r="C393" s="29"/>
      <c r="E393" s="29"/>
      <c r="I393" s="29"/>
      <c r="K393" s="29"/>
      <c r="L393" s="29"/>
      <c r="W393" s="29"/>
      <c r="X393" s="29"/>
      <c r="Y393" s="29"/>
      <c r="Z393" s="29"/>
      <c r="AB393" s="30"/>
      <c r="AD393" s="29"/>
      <c r="AE393" s="29"/>
    </row>
    <row r="394" ht="15.75" customHeight="1">
      <c r="C394" s="29"/>
      <c r="E394" s="29"/>
      <c r="I394" s="29"/>
      <c r="K394" s="29"/>
      <c r="L394" s="29"/>
      <c r="W394" s="29"/>
      <c r="X394" s="29"/>
      <c r="Y394" s="29"/>
      <c r="Z394" s="29"/>
      <c r="AB394" s="30"/>
      <c r="AD394" s="29"/>
      <c r="AE394" s="29"/>
    </row>
    <row r="395" ht="15.75" customHeight="1">
      <c r="C395" s="29"/>
      <c r="E395" s="29"/>
      <c r="I395" s="29"/>
      <c r="K395" s="29"/>
      <c r="L395" s="29"/>
      <c r="W395" s="29"/>
      <c r="X395" s="29"/>
      <c r="Y395" s="29"/>
      <c r="Z395" s="29"/>
      <c r="AB395" s="30"/>
      <c r="AD395" s="29"/>
      <c r="AE395" s="29"/>
    </row>
    <row r="396" ht="15.75" customHeight="1">
      <c r="C396" s="29"/>
      <c r="E396" s="29"/>
      <c r="I396" s="29"/>
      <c r="K396" s="29"/>
      <c r="L396" s="29"/>
      <c r="W396" s="29"/>
      <c r="X396" s="29"/>
      <c r="Y396" s="29"/>
      <c r="Z396" s="29"/>
      <c r="AB396" s="30"/>
      <c r="AD396" s="29"/>
      <c r="AE396" s="29"/>
    </row>
    <row r="397" ht="15.75" customHeight="1">
      <c r="C397" s="29"/>
      <c r="E397" s="29"/>
      <c r="I397" s="29"/>
      <c r="K397" s="29"/>
      <c r="L397" s="29"/>
      <c r="W397" s="29"/>
      <c r="X397" s="29"/>
      <c r="Y397" s="29"/>
      <c r="Z397" s="29"/>
      <c r="AB397" s="30"/>
      <c r="AD397" s="29"/>
      <c r="AE397" s="29"/>
    </row>
    <row r="398" ht="15.75" customHeight="1">
      <c r="C398" s="29"/>
      <c r="E398" s="29"/>
      <c r="I398" s="29"/>
      <c r="K398" s="29"/>
      <c r="L398" s="29"/>
      <c r="W398" s="29"/>
      <c r="X398" s="29"/>
      <c r="Y398" s="29"/>
      <c r="Z398" s="29"/>
      <c r="AB398" s="30"/>
      <c r="AD398" s="29"/>
      <c r="AE398" s="29"/>
    </row>
    <row r="399" ht="15.75" customHeight="1">
      <c r="C399" s="29"/>
      <c r="E399" s="29"/>
      <c r="I399" s="29"/>
      <c r="K399" s="29"/>
      <c r="L399" s="29"/>
      <c r="W399" s="29"/>
      <c r="X399" s="29"/>
      <c r="Y399" s="29"/>
      <c r="Z399" s="29"/>
      <c r="AB399" s="30"/>
      <c r="AD399" s="29"/>
      <c r="AE399" s="29"/>
    </row>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ErrorMessage="1" sqref="J2:J5">
      <formula1>"verde,No Indica,Azul,Rojo,Negro,Nude,amarilo,Collar,Dije,Pulsera,Morado,Rosado,aretes + pulsera,Pulsera + Collar,Aretes"</formula1>
    </dataValidation>
    <dataValidation type="list" allowBlank="1" showErrorMessage="1" sqref="AB2:AB5">
      <formula1>"Sandra,Linda,Daniela"</formula1>
    </dataValidation>
    <dataValidation type="list" allowBlank="1" showErrorMessage="1" sqref="AF2 AF3:AG5">
      <formula1>"MEMOLAB,Cristinne,NO SE TERMINO,MEMO + CRISTINNE,Stock"</formula1>
    </dataValidation>
    <dataValidation type="list" allowBlank="1" showErrorMessage="1" sqref="N2:N5">
      <formula1>"caballero,Dama,Familiar,Novi@,Amig@,Para mi,Mamá,Papá,Espos@,Herman@,Hij@,Nieta"</formula1>
    </dataValidation>
    <dataValidation type="list" allowBlank="1" showErrorMessage="1" sqref="B2:B20">
      <formula1>"Diseño,Impresión,Empaque,Terminado,Anulado"</formula1>
    </dataValidation>
    <dataValidation type="list" allowBlank="1" showErrorMessage="1" sqref="T2:T5">
      <formula1>"Yape,Plin,Transferencia,Tarjeta Link Pago,Efectivo"</formula1>
    </dataValidation>
    <dataValidation type="list" allowBlank="1" showErrorMessage="1" sqref="U2:U5">
      <formula1>"shalom,Jesus Maria - Tienda,Motorizado,Olva"</formula1>
    </dataValidation>
    <dataValidation type="list" allowBlank="1" showErrorMessage="1" sqref="M2:M18">
      <formula1>"NO,Foto Polaroid,Paño de Joyeria,Caja de Pana,Kit de Regalo,Kit Light"</formula1>
    </dataValidation>
    <dataValidation type="list" allowBlank="1" showErrorMessage="1" sqref="D2:D18 D20:D21">
      <formula1>"P01 Pulsera dije circular 2cm colgante,P02 Pulsera dije circular 2cm con huecos,P03 Pulsera dije circular 2cm con orejas,P06 Pulsera con hilo negro dije oval,P07 Pulsera con hilo negro dije circular,P08 Pulsera con cadena,P09 Pulsera Dije rectangular,CL01"&amp;" Collar dije circular 1.5cm,CL02 Collar dije circular 2cm,CL03 Collar con dije silueta 2.6cm,CL04 collar con dije  rectangular de 2.5x1.5cm,CL05 collar con dije oval de 2.5x1.5cm,DL01 Dije circular solo 1.5cm,DL02 Dije circular solo 2cm,PS01 Pulsera Silue"&amp;"ta Gatito,OTRO"</formula1>
    </dataValidation>
    <dataValidation type="list" allowBlank="1" showErrorMessage="1" sqref="AA2:AA5">
      <formula1>"Whatsapp,instagram,facebook"</formula1>
    </dataValidation>
    <dataValidation type="list" allowBlank="1" showErrorMessage="1" sqref="AG2">
      <formula1>"Personalizado,Stock"</formula1>
    </dataValidation>
  </dataValidation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6" width="12.63"/>
  </cols>
  <sheetData>
    <row r="1" ht="15.75" customHeight="1"/>
    <row r="2" ht="15.75" customHeight="1"/>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6" width="12.63"/>
  </cols>
  <sheetData>
    <row r="1" ht="15.75" customHeight="1">
      <c r="Z1" s="28">
        <v>9.96105445E8</v>
      </c>
      <c r="AA1" s="28" t="s">
        <v>340</v>
      </c>
      <c r="AB1" s="28" t="s">
        <v>341</v>
      </c>
      <c r="AC1" s="28" t="s">
        <v>342</v>
      </c>
      <c r="AG1" s="28" t="s">
        <v>343</v>
      </c>
      <c r="AH1" s="28" t="s">
        <v>344</v>
      </c>
    </row>
    <row r="2" ht="15.75" customHeight="1">
      <c r="Z2" s="28">
        <v>9.93101223E8</v>
      </c>
      <c r="AA2" s="28" t="s">
        <v>345</v>
      </c>
      <c r="AB2" s="28" t="s">
        <v>346</v>
      </c>
      <c r="AC2" s="28" t="s">
        <v>342</v>
      </c>
      <c r="AG2" s="28" t="s">
        <v>346</v>
      </c>
      <c r="AH2" s="28" t="s">
        <v>347</v>
      </c>
    </row>
    <row r="3" ht="15.75" customHeight="1">
      <c r="Z3" s="28">
        <v>9.20673596E8</v>
      </c>
      <c r="AA3" s="28" t="s">
        <v>348</v>
      </c>
      <c r="AB3" s="28" t="s">
        <v>349</v>
      </c>
      <c r="AC3" s="28" t="s">
        <v>350</v>
      </c>
      <c r="AG3" s="28" t="s">
        <v>351</v>
      </c>
      <c r="AH3" s="28" t="s">
        <v>344</v>
      </c>
    </row>
    <row r="4" ht="15.75" customHeight="1">
      <c r="Z4" s="28">
        <v>9.74606698E8</v>
      </c>
      <c r="AA4" s="28" t="s">
        <v>352</v>
      </c>
      <c r="AB4" s="28" t="s">
        <v>353</v>
      </c>
      <c r="AC4" s="28" t="s">
        <v>342</v>
      </c>
      <c r="AG4" s="28" t="s">
        <v>352</v>
      </c>
      <c r="AH4" s="28" t="s">
        <v>347</v>
      </c>
    </row>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