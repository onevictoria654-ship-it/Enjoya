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o" sheetId="1" r:id="rId5"/>
    <sheet state="visible" name="Costos Unitarios" sheetId="2" r:id="rId6"/>
    <sheet state="visible" name="Copia de Costos Unitarios" sheetId="3" r:id="rId7"/>
    <sheet state="visible" name="Precios y Combos" sheetId="4" r:id="rId8"/>
    <sheet state="visible" name="Punto de Equilibrio" sheetId="5" r:id="rId9"/>
    <sheet state="visible" name="Misión" sheetId="6" r:id="rId10"/>
  </sheets>
  <definedNames/>
  <calcPr/>
</workbook>
</file>

<file path=xl/sharedStrings.xml><?xml version="1.0" encoding="utf-8"?>
<sst xmlns="http://schemas.openxmlformats.org/spreadsheetml/2006/main" count="257" uniqueCount="101">
  <si>
    <t>Instrucciones: Registra compras en 'Entradas' y usos en 'Salidas'. 'Stock actual' y 'Costo total' se calculan automáticamente.</t>
  </si>
  <si>
    <t>Insumo</t>
  </si>
  <si>
    <t>Categoría</t>
  </si>
  <si>
    <t>Unidad de medida</t>
  </si>
  <si>
    <t>Cantidad comprada</t>
  </si>
  <si>
    <t>Entradas</t>
  </si>
  <si>
    <t>Salidas</t>
  </si>
  <si>
    <t>Stock actual</t>
  </si>
  <si>
    <t>Costo unitario (S/)</t>
  </si>
  <si>
    <t>Costo total (S/)</t>
  </si>
  <si>
    <t>Materia prima</t>
  </si>
  <si>
    <t>kg</t>
  </si>
  <si>
    <t>Fragancia</t>
  </si>
  <si>
    <t>ml</t>
  </si>
  <si>
    <t>Envases</t>
  </si>
  <si>
    <t>unidad</t>
  </si>
  <si>
    <t>Empaque</t>
  </si>
  <si>
    <t>Instrucciones: Ingresa cantidad usada por vela y costo por unidad. 'Costo por vela' y el total se calculan solos.</t>
  </si>
  <si>
    <t>Código</t>
  </si>
  <si>
    <t>Cantidad usada</t>
  </si>
  <si>
    <t>Costo por unidad (S/)</t>
  </si>
  <si>
    <t>Costo por joya (S/)</t>
  </si>
  <si>
    <t>Fijos</t>
  </si>
  <si>
    <t>Variable</t>
  </si>
  <si>
    <t>CL02</t>
  </si>
  <si>
    <t>Dije</t>
  </si>
  <si>
    <t>Meta ads</t>
  </si>
  <si>
    <t>Motorizado</t>
  </si>
  <si>
    <t>por recojo</t>
  </si>
  <si>
    <t xml:space="preserve">Diseño </t>
  </si>
  <si>
    <t>Impresión</t>
  </si>
  <si>
    <t>Web</t>
  </si>
  <si>
    <t>cadena pancer</t>
  </si>
  <si>
    <t>Papel Film</t>
  </si>
  <si>
    <t>Post It</t>
  </si>
  <si>
    <t>Precio de plata 15.04</t>
  </si>
  <si>
    <t>18 por plata trabaja en 950</t>
  </si>
  <si>
    <t>Costo total unitario</t>
  </si>
  <si>
    <t>CL01</t>
  </si>
  <si>
    <t>Diseño e Impresión</t>
  </si>
  <si>
    <t>PL01</t>
  </si>
  <si>
    <t>Tejido (hilo + MO)</t>
  </si>
  <si>
    <t>PL07</t>
  </si>
  <si>
    <t>Tejido (cuerina + MO)</t>
  </si>
  <si>
    <t>PL08</t>
  </si>
  <si>
    <t>x</t>
  </si>
  <si>
    <t>Cadena</t>
  </si>
  <si>
    <t>Huellita</t>
  </si>
  <si>
    <t>Dije Plata</t>
  </si>
  <si>
    <t xml:space="preserve">Resina </t>
  </si>
  <si>
    <t>Foto</t>
  </si>
  <si>
    <t>MO resina</t>
  </si>
  <si>
    <t>Hasta Dic 25</t>
  </si>
  <si>
    <t>Collar = cadena tipo pancer de 45cm +dije de 1.5cm colgante</t>
  </si>
  <si>
    <t>PV</t>
  </si>
  <si>
    <t>Comisiones 10% sobre PV</t>
  </si>
  <si>
    <t>IGV</t>
  </si>
  <si>
    <t>Collar = cadena tipo pancer de 45cm +dije de 2cm colgante</t>
  </si>
  <si>
    <t>Diseño</t>
  </si>
  <si>
    <t>P01</t>
  </si>
  <si>
    <t>Tejido hilo</t>
  </si>
  <si>
    <t>MO</t>
  </si>
  <si>
    <t xml:space="preserve">Dije Plata 1.5cm </t>
  </si>
  <si>
    <t>Collar cabecita</t>
  </si>
  <si>
    <t>Dije acero</t>
  </si>
  <si>
    <t xml:space="preserve">Hilo </t>
  </si>
  <si>
    <t>Instrucciones: Precios sugeridos con margen sobre el costo total unitario. Combos aplican descuento al precio con 50% margen.</t>
  </si>
  <si>
    <t xml:space="preserve"> Margen</t>
  </si>
  <si>
    <t>Precio de venta (S/)</t>
  </si>
  <si>
    <t>30%</t>
  </si>
  <si>
    <t>40%</t>
  </si>
  <si>
    <t>Combos</t>
  </si>
  <si>
    <t>Precio total (S/)</t>
  </si>
  <si>
    <t>Comisión</t>
  </si>
  <si>
    <t>Margen</t>
  </si>
  <si>
    <t>2 collares (5% desc.)</t>
  </si>
  <si>
    <t>3 collares (8% desc.)</t>
  </si>
  <si>
    <t>Con IGV</t>
  </si>
  <si>
    <t>Precio Final</t>
  </si>
  <si>
    <t>2 velas (5% desc.)</t>
  </si>
  <si>
    <t>3 velas (8% desc.)</t>
  </si>
  <si>
    <t>Instrucciones: Ingresa tu inversión inicial. Se calcula ganancia porjoya y cuántas vender para cubrirla.</t>
  </si>
  <si>
    <t>Inversión inicial (S/)</t>
  </si>
  <si>
    <t>Costo unitario por joya(S/)</t>
  </si>
  <si>
    <t>Precio de venta unitario (S/)</t>
  </si>
  <si>
    <t>Ganancia por unidad (S/)</t>
  </si>
  <si>
    <t>Joyas necesarias para equilibrio</t>
  </si>
  <si>
    <t>Celular</t>
  </si>
  <si>
    <t>Internet</t>
  </si>
  <si>
    <t>Publicidad</t>
  </si>
  <si>
    <t>Gastos en Publicidad</t>
  </si>
  <si>
    <t>Deliverys</t>
  </si>
  <si>
    <t>Sueldo</t>
  </si>
  <si>
    <t>Entregar joyas petlover como recuerdos que perduran toda la vida</t>
  </si>
  <si>
    <t>Entregar recuerdos petlover hechos joyas</t>
  </si>
  <si>
    <t>Productos Estrellas</t>
  </si>
  <si>
    <t xml:space="preserve"> Collar dije circular 1.5cm</t>
  </si>
  <si>
    <t xml:space="preserve">Collar dije circular 2cm </t>
  </si>
  <si>
    <t>P07</t>
  </si>
  <si>
    <t>Pulsera con hilo negro dije circular</t>
  </si>
  <si>
    <t>Pulsera dije circular 2cm colgante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</si>
</sst>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S/-es-PE] #,##0.00"/>
  </numFmts>
  <fonts count="6">
    <font>
      <sz val="11.0"/>
      <color theme="1"/>
      <name val="Calibri"/>
      <scheme val="minor"/>
    </font>
    <font>
      <b/>
      <color theme="1"/>
      <name val="Calibri"/>
      <scheme val="minor"/>
    </font>
    <font/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E8F5E9"/>
        <bgColor rgb="FFE8F5E9"/>
      </patternFill>
    </fill>
    <fill>
      <patternFill patternType="solid">
        <fgColor rgb="FFF2F4F7"/>
        <bgColor rgb="FFF2F4F7"/>
      </patternFill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vertical="center"/>
    </xf>
    <xf borderId="4" fillId="3" fontId="1" numFmtId="164" xfId="0" applyAlignment="1" applyBorder="1" applyFont="1" applyNumberFormat="1">
      <alignment horizontal="center" vertical="center"/>
    </xf>
    <xf borderId="4" fillId="0" fontId="3" numFmtId="0" xfId="0" applyBorder="1" applyFont="1"/>
    <xf borderId="4" fillId="0" fontId="3" numFmtId="164" xfId="0" applyBorder="1" applyFont="1" applyNumberFormat="1"/>
    <xf borderId="0" fillId="2" fontId="1" numFmtId="0" xfId="0" applyAlignment="1" applyFont="1">
      <alignment shrinkToFit="0" vertical="center" wrapText="1"/>
    </xf>
    <xf borderId="0" fillId="3" fontId="1" numFmtId="0" xfId="0" applyAlignment="1" applyFont="1">
      <alignment horizontal="center" readingOrder="0" vertical="center"/>
    </xf>
    <xf borderId="4" fillId="3" fontId="1" numFmtId="0" xfId="0" applyAlignment="1" applyBorder="1" applyFont="1">
      <alignment horizontal="center" readingOrder="0" vertical="center"/>
    </xf>
    <xf borderId="4" fillId="3" fontId="1" numFmtId="164" xfId="0" applyAlignment="1" applyBorder="1" applyFont="1" applyNumberFormat="1">
      <alignment horizontal="center" readingOrder="0" vertical="center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4" fillId="0" fontId="3" numFmtId="0" xfId="0" applyAlignment="1" applyBorder="1" applyFont="1">
      <alignment readingOrder="0"/>
    </xf>
    <xf borderId="4" fillId="0" fontId="3" numFmtId="164" xfId="0" applyAlignment="1" applyBorder="1" applyFont="1" applyNumberFormat="1">
      <alignment readingOrder="0"/>
    </xf>
    <xf borderId="0" fillId="0" fontId="3" numFmtId="0" xfId="0" applyFont="1"/>
    <xf borderId="0" fillId="0" fontId="3" numFmtId="0" xfId="0" applyAlignment="1" applyFont="1">
      <alignment readingOrder="0" vertical="bottom"/>
    </xf>
    <xf borderId="4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4" fillId="0" fontId="3" numFmtId="164" xfId="0" applyAlignment="1" applyBorder="1" applyFont="1" applyNumberFormat="1">
      <alignment horizontal="right" readingOrder="0" vertical="bottom"/>
    </xf>
    <xf borderId="4" fillId="0" fontId="3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4" fillId="0" fontId="3" numFmtId="0" xfId="0" applyAlignment="1" applyBorder="1" applyFont="1">
      <alignment readingOrder="0" vertical="bottom"/>
    </xf>
    <xf borderId="4" fillId="0" fontId="3" numFmtId="164" xfId="0" applyAlignment="1" applyBorder="1" applyFont="1" applyNumberFormat="1">
      <alignment vertical="bottom"/>
    </xf>
    <xf borderId="0" fillId="0" fontId="4" numFmtId="164" xfId="0" applyFont="1" applyNumberFormat="1"/>
    <xf borderId="0" fillId="0" fontId="3" numFmtId="164" xfId="0" applyFont="1" applyNumberFormat="1"/>
    <xf borderId="0" fillId="0" fontId="4" numFmtId="0" xfId="0" applyFont="1"/>
    <xf borderId="4" fillId="4" fontId="5" numFmtId="0" xfId="0" applyAlignment="1" applyBorder="1" applyFill="1" applyFont="1">
      <alignment readingOrder="0"/>
    </xf>
    <xf borderId="4" fillId="0" fontId="3" numFmtId="9" xfId="0" applyAlignment="1" applyBorder="1" applyFont="1" applyNumberFormat="1">
      <alignment horizontal="left" readingOrder="0"/>
    </xf>
    <xf borderId="0" fillId="5" fontId="4" numFmtId="0" xfId="0" applyAlignment="1" applyFill="1" applyFont="1">
      <alignment readingOrder="0"/>
    </xf>
    <xf borderId="0" fillId="5" fontId="4" numFmtId="164" xfId="0" applyFont="1" applyNumberFormat="1"/>
    <xf borderId="0" fillId="0" fontId="1" numFmtId="0" xfId="0" applyAlignment="1" applyFont="1">
      <alignment readingOrder="0"/>
    </xf>
    <xf borderId="1" fillId="2" fontId="1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6.0"/>
    <col customWidth="1" min="2" max="3" width="18.0"/>
    <col customWidth="1" min="4" max="4" width="20.0"/>
    <col customWidth="1" min="5" max="6" width="12.0"/>
    <col customWidth="1" min="7" max="7" width="14.0"/>
    <col customWidth="1" min="8" max="8" width="20.0"/>
    <col customWidth="1" min="9" max="9" width="18.0"/>
    <col customWidth="1" min="10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8</v>
      </c>
      <c r="I2" s="5" t="s">
        <v>9</v>
      </c>
    </row>
    <row r="3">
      <c r="A3" s="6"/>
      <c r="B3" s="6" t="s">
        <v>10</v>
      </c>
      <c r="C3" s="6" t="s">
        <v>11</v>
      </c>
      <c r="D3" s="6"/>
      <c r="E3" s="6"/>
      <c r="F3" s="6"/>
      <c r="G3" s="6">
        <f t="shared" ref="G3:G8" si="1">D3+E3-F3</f>
        <v>0</v>
      </c>
      <c r="H3" s="7">
        <v>45.0</v>
      </c>
      <c r="I3" s="7">
        <f t="shared" ref="I3:I8" si="2">G3*H3</f>
        <v>0</v>
      </c>
    </row>
    <row r="4">
      <c r="A4" s="6"/>
      <c r="B4" s="6" t="s">
        <v>12</v>
      </c>
      <c r="C4" s="6" t="s">
        <v>13</v>
      </c>
      <c r="D4" s="6"/>
      <c r="E4" s="6"/>
      <c r="F4" s="6"/>
      <c r="G4" s="6">
        <f t="shared" si="1"/>
        <v>0</v>
      </c>
      <c r="H4" s="7">
        <v>0.6</v>
      </c>
      <c r="I4" s="7">
        <f t="shared" si="2"/>
        <v>0</v>
      </c>
    </row>
    <row r="5">
      <c r="A5" s="6"/>
      <c r="B5" s="6" t="s">
        <v>14</v>
      </c>
      <c r="C5" s="6" t="s">
        <v>15</v>
      </c>
      <c r="D5" s="6"/>
      <c r="E5" s="6"/>
      <c r="F5" s="6"/>
      <c r="G5" s="6">
        <f t="shared" si="1"/>
        <v>0</v>
      </c>
      <c r="H5" s="7">
        <v>3.0</v>
      </c>
      <c r="I5" s="7">
        <f t="shared" si="2"/>
        <v>0</v>
      </c>
    </row>
    <row r="6">
      <c r="A6" s="6"/>
      <c r="B6" s="6" t="s">
        <v>1</v>
      </c>
      <c r="C6" s="6" t="s">
        <v>15</v>
      </c>
      <c r="D6" s="6"/>
      <c r="E6" s="6"/>
      <c r="F6" s="6"/>
      <c r="G6" s="6">
        <f t="shared" si="1"/>
        <v>0</v>
      </c>
      <c r="H6" s="7">
        <v>0.5</v>
      </c>
      <c r="I6" s="7">
        <f t="shared" si="2"/>
        <v>0</v>
      </c>
    </row>
    <row r="7">
      <c r="A7" s="6"/>
      <c r="B7" s="6" t="s">
        <v>16</v>
      </c>
      <c r="C7" s="6" t="s">
        <v>15</v>
      </c>
      <c r="D7" s="6"/>
      <c r="E7" s="6"/>
      <c r="F7" s="6"/>
      <c r="G7" s="6">
        <f t="shared" si="1"/>
        <v>0</v>
      </c>
      <c r="H7" s="7">
        <v>0.2</v>
      </c>
      <c r="I7" s="7">
        <f t="shared" si="2"/>
        <v>0</v>
      </c>
    </row>
    <row r="8">
      <c r="A8" s="6"/>
      <c r="B8" s="6" t="s">
        <v>16</v>
      </c>
      <c r="C8" s="6" t="s">
        <v>15</v>
      </c>
      <c r="D8" s="6"/>
      <c r="E8" s="6"/>
      <c r="F8" s="6"/>
      <c r="G8" s="6">
        <f t="shared" si="1"/>
        <v>0</v>
      </c>
      <c r="H8" s="7">
        <v>1.5</v>
      </c>
      <c r="I8" s="7">
        <f t="shared" si="2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29"/>
    <col customWidth="1" min="2" max="2" width="28.0"/>
    <col customWidth="1" min="3" max="3" width="26.0"/>
    <col customWidth="1" min="4" max="4" width="24.0"/>
    <col customWidth="1" min="5" max="5" width="22.0"/>
    <col customWidth="1" min="6" max="27" width="8.71"/>
  </cols>
  <sheetData>
    <row r="1">
      <c r="A1" s="8"/>
      <c r="B1" s="1" t="s">
        <v>17</v>
      </c>
      <c r="C1" s="2"/>
      <c r="D1" s="2"/>
      <c r="E1" s="3"/>
    </row>
    <row r="2">
      <c r="A2" s="9" t="s">
        <v>18</v>
      </c>
      <c r="B2" s="4" t="s">
        <v>1</v>
      </c>
      <c r="C2" s="10" t="s">
        <v>19</v>
      </c>
      <c r="D2" s="5" t="s">
        <v>20</v>
      </c>
      <c r="E2" s="11" t="s">
        <v>21</v>
      </c>
      <c r="H2" s="12" t="s">
        <v>22</v>
      </c>
      <c r="K2" s="12" t="s">
        <v>23</v>
      </c>
    </row>
    <row r="3">
      <c r="A3" s="13" t="s">
        <v>24</v>
      </c>
      <c r="B3" s="14" t="s">
        <v>25</v>
      </c>
      <c r="C3" s="14">
        <v>2.0</v>
      </c>
      <c r="D3" s="15">
        <v>18.0</v>
      </c>
      <c r="E3" s="7">
        <f t="shared" ref="E3:E9" si="1">C3*D3</f>
        <v>36</v>
      </c>
      <c r="G3" s="12">
        <v>2.0</v>
      </c>
      <c r="H3" s="12" t="s">
        <v>26</v>
      </c>
      <c r="I3" s="12">
        <v>500.0</v>
      </c>
      <c r="K3" s="12" t="s">
        <v>27</v>
      </c>
      <c r="L3" s="12">
        <v>8.0</v>
      </c>
      <c r="M3" s="12" t="s">
        <v>28</v>
      </c>
    </row>
    <row r="4">
      <c r="A4" s="16"/>
      <c r="B4" s="14" t="s">
        <v>29</v>
      </c>
      <c r="C4" s="14">
        <v>1.0</v>
      </c>
      <c r="D4" s="15">
        <v>20.0</v>
      </c>
      <c r="E4" s="7">
        <f t="shared" si="1"/>
        <v>20</v>
      </c>
      <c r="H4" s="12"/>
      <c r="I4" s="12"/>
    </row>
    <row r="5">
      <c r="A5" s="16"/>
      <c r="B5" s="14" t="s">
        <v>30</v>
      </c>
      <c r="C5" s="14">
        <v>1.0</v>
      </c>
      <c r="D5" s="15">
        <v>8.0</v>
      </c>
      <c r="E5" s="7">
        <f t="shared" si="1"/>
        <v>8</v>
      </c>
      <c r="H5" s="12" t="s">
        <v>31</v>
      </c>
      <c r="I5" s="12">
        <v>34.0</v>
      </c>
    </row>
    <row r="6">
      <c r="A6" s="16"/>
      <c r="B6" s="14" t="s">
        <v>32</v>
      </c>
      <c r="C6" s="6">
        <v>1.0</v>
      </c>
      <c r="D6" s="15">
        <v>17.0</v>
      </c>
      <c r="E6" s="7">
        <f t="shared" si="1"/>
        <v>17</v>
      </c>
    </row>
    <row r="7">
      <c r="A7" s="16"/>
      <c r="B7" s="14" t="s">
        <v>16</v>
      </c>
      <c r="C7" s="6">
        <v>1.0</v>
      </c>
      <c r="D7" s="15">
        <v>3.5</v>
      </c>
      <c r="E7" s="7">
        <f t="shared" si="1"/>
        <v>3.5</v>
      </c>
    </row>
    <row r="8">
      <c r="A8" s="16"/>
      <c r="B8" s="14" t="s">
        <v>33</v>
      </c>
      <c r="C8" s="14">
        <f>1/200</f>
        <v>0.005</v>
      </c>
      <c r="D8" s="15">
        <v>17.0</v>
      </c>
      <c r="E8" s="7">
        <f t="shared" si="1"/>
        <v>0.085</v>
      </c>
    </row>
    <row r="9">
      <c r="A9" s="16"/>
      <c r="B9" s="14" t="s">
        <v>34</v>
      </c>
      <c r="C9" s="6">
        <f>1/40</f>
        <v>0.025</v>
      </c>
      <c r="D9" s="15">
        <v>3.0</v>
      </c>
      <c r="E9" s="7">
        <f t="shared" si="1"/>
        <v>0.075</v>
      </c>
      <c r="H9" s="12" t="s">
        <v>35</v>
      </c>
    </row>
    <row r="10">
      <c r="A10" s="16"/>
      <c r="B10" s="6"/>
      <c r="C10" s="6"/>
      <c r="E10" s="7">
        <f>SUM(E3:E9)</f>
        <v>84.66</v>
      </c>
      <c r="H10" s="12" t="s">
        <v>36</v>
      </c>
    </row>
    <row r="11">
      <c r="D11" s="7" t="s">
        <v>37</v>
      </c>
      <c r="E11" s="12">
        <v>18.0</v>
      </c>
    </row>
    <row r="12">
      <c r="A12" s="13" t="s">
        <v>38</v>
      </c>
      <c r="B12" s="14" t="s">
        <v>25</v>
      </c>
      <c r="C12" s="14">
        <v>1.5</v>
      </c>
      <c r="D12" s="15">
        <v>18.0</v>
      </c>
      <c r="E12" s="7">
        <f t="shared" ref="E12:E17" si="2">C12*D12</f>
        <v>27</v>
      </c>
    </row>
    <row r="13">
      <c r="A13" s="16"/>
      <c r="B13" s="14" t="s">
        <v>39</v>
      </c>
      <c r="C13" s="14">
        <v>1.0</v>
      </c>
      <c r="D13" s="15">
        <v>29.0</v>
      </c>
      <c r="E13" s="7">
        <f t="shared" si="2"/>
        <v>29</v>
      </c>
    </row>
    <row r="14">
      <c r="A14" s="16"/>
      <c r="B14" s="14" t="s">
        <v>32</v>
      </c>
      <c r="C14" s="6">
        <v>1.0</v>
      </c>
      <c r="D14" s="15">
        <v>17.0</v>
      </c>
      <c r="E14" s="7">
        <f t="shared" si="2"/>
        <v>17</v>
      </c>
    </row>
    <row r="15">
      <c r="A15" s="16"/>
      <c r="B15" s="14" t="s">
        <v>16</v>
      </c>
      <c r="C15" s="6">
        <v>1.0</v>
      </c>
      <c r="D15" s="15">
        <v>3.5</v>
      </c>
      <c r="E15" s="7">
        <f t="shared" si="2"/>
        <v>3.5</v>
      </c>
    </row>
    <row r="16">
      <c r="A16" s="16"/>
      <c r="B16" s="14" t="s">
        <v>33</v>
      </c>
      <c r="C16" s="14">
        <f>1/200</f>
        <v>0.005</v>
      </c>
      <c r="D16" s="15">
        <v>17.0</v>
      </c>
      <c r="E16" s="7">
        <f t="shared" si="2"/>
        <v>0.085</v>
      </c>
    </row>
    <row r="17">
      <c r="A17" s="16"/>
      <c r="B17" s="14" t="s">
        <v>34</v>
      </c>
      <c r="C17" s="6">
        <f>1/40</f>
        <v>0.025</v>
      </c>
      <c r="D17" s="15">
        <v>3.0</v>
      </c>
      <c r="E17" s="7">
        <f t="shared" si="2"/>
        <v>0.075</v>
      </c>
    </row>
    <row r="18">
      <c r="A18" s="16"/>
      <c r="B18" s="6"/>
      <c r="C18" s="6"/>
      <c r="D18" s="7" t="s">
        <v>37</v>
      </c>
      <c r="E18" s="7">
        <f>SUM(E12:E17)</f>
        <v>76.66</v>
      </c>
    </row>
    <row r="20">
      <c r="A20" s="13" t="s">
        <v>40</v>
      </c>
      <c r="B20" s="14" t="s">
        <v>25</v>
      </c>
      <c r="C20" s="14">
        <v>1.0</v>
      </c>
      <c r="D20" s="15">
        <v>18.0</v>
      </c>
      <c r="E20" s="7">
        <f t="shared" ref="E20:E25" si="3">C20*D20</f>
        <v>18</v>
      </c>
      <c r="G20" s="12">
        <v>2.0</v>
      </c>
    </row>
    <row r="21">
      <c r="A21" s="16"/>
      <c r="B21" s="14" t="s">
        <v>39</v>
      </c>
      <c r="C21" s="14">
        <v>1.0</v>
      </c>
      <c r="D21" s="15">
        <v>29.0</v>
      </c>
      <c r="E21" s="7">
        <f t="shared" si="3"/>
        <v>29</v>
      </c>
    </row>
    <row r="22" ht="15.75" customHeight="1">
      <c r="A22" s="16"/>
      <c r="B22" s="14" t="s">
        <v>41</v>
      </c>
      <c r="C22" s="6">
        <v>1.0</v>
      </c>
      <c r="D22" s="15">
        <v>8.0</v>
      </c>
      <c r="E22" s="7">
        <f t="shared" si="3"/>
        <v>8</v>
      </c>
    </row>
    <row r="23" ht="15.75" customHeight="1">
      <c r="A23" s="16"/>
      <c r="B23" s="14" t="s">
        <v>16</v>
      </c>
      <c r="C23" s="6">
        <v>1.0</v>
      </c>
      <c r="D23" s="15">
        <v>3.5</v>
      </c>
      <c r="E23" s="7">
        <f t="shared" si="3"/>
        <v>3.5</v>
      </c>
    </row>
    <row r="24" ht="15.75" customHeight="1">
      <c r="A24" s="16"/>
      <c r="B24" s="14" t="s">
        <v>33</v>
      </c>
      <c r="C24" s="14">
        <f>1/200</f>
        <v>0.005</v>
      </c>
      <c r="D24" s="15">
        <v>17.0</v>
      </c>
      <c r="E24" s="7">
        <f t="shared" si="3"/>
        <v>0.085</v>
      </c>
    </row>
    <row r="25" ht="15.75" customHeight="1">
      <c r="A25" s="16"/>
      <c r="B25" s="14" t="s">
        <v>34</v>
      </c>
      <c r="C25" s="6">
        <f>1/40</f>
        <v>0.025</v>
      </c>
      <c r="D25" s="15">
        <v>3.0</v>
      </c>
      <c r="E25" s="7">
        <f t="shared" si="3"/>
        <v>0.075</v>
      </c>
    </row>
    <row r="26" ht="15.75" customHeight="1">
      <c r="A26" s="16"/>
      <c r="B26" s="6"/>
      <c r="C26" s="6"/>
      <c r="D26" s="7" t="s">
        <v>37</v>
      </c>
      <c r="E26" s="7">
        <f>SUM(E20:E25)</f>
        <v>58.66</v>
      </c>
    </row>
    <row r="27" ht="15.75" customHeight="1"/>
    <row r="28" ht="15.75" customHeight="1">
      <c r="A28" s="13" t="s">
        <v>42</v>
      </c>
      <c r="B28" s="14" t="s">
        <v>25</v>
      </c>
      <c r="C28" s="14">
        <v>1.0</v>
      </c>
      <c r="D28" s="15">
        <v>31.0</v>
      </c>
      <c r="E28" s="7">
        <f t="shared" ref="E28:E33" si="4">C28*D28</f>
        <v>31</v>
      </c>
      <c r="G28" s="12">
        <v>2.5</v>
      </c>
    </row>
    <row r="29" ht="15.75" customHeight="1">
      <c r="A29" s="16"/>
      <c r="B29" s="14" t="s">
        <v>39</v>
      </c>
      <c r="C29" s="14">
        <v>1.0</v>
      </c>
      <c r="D29" s="7">
        <f>15+9</f>
        <v>24</v>
      </c>
      <c r="E29" s="7">
        <f t="shared" si="4"/>
        <v>24</v>
      </c>
    </row>
    <row r="30" ht="15.75" customHeight="1">
      <c r="A30" s="16"/>
      <c r="B30" s="14" t="s">
        <v>43</v>
      </c>
      <c r="C30" s="6">
        <v>1.0</v>
      </c>
      <c r="D30" s="15">
        <v>12.0</v>
      </c>
      <c r="E30" s="7">
        <f t="shared" si="4"/>
        <v>12</v>
      </c>
    </row>
    <row r="31" ht="15.75" customHeight="1">
      <c r="A31" s="16"/>
      <c r="B31" s="14" t="s">
        <v>16</v>
      </c>
      <c r="C31" s="6">
        <v>1.0</v>
      </c>
      <c r="D31" s="15">
        <v>3.5</v>
      </c>
      <c r="E31" s="7">
        <f t="shared" si="4"/>
        <v>3.5</v>
      </c>
    </row>
    <row r="32" ht="15.75" customHeight="1">
      <c r="A32" s="16"/>
      <c r="B32" s="14" t="s">
        <v>33</v>
      </c>
      <c r="C32" s="14">
        <f>1/200</f>
        <v>0.005</v>
      </c>
      <c r="D32" s="15">
        <v>17.0</v>
      </c>
      <c r="E32" s="7">
        <f t="shared" si="4"/>
        <v>0.085</v>
      </c>
    </row>
    <row r="33" ht="15.75" customHeight="1">
      <c r="A33" s="16"/>
      <c r="B33" s="14" t="s">
        <v>34</v>
      </c>
      <c r="C33" s="6">
        <f>1/40</f>
        <v>0.025</v>
      </c>
      <c r="D33" s="15">
        <v>3.0</v>
      </c>
      <c r="E33" s="7">
        <f t="shared" si="4"/>
        <v>0.075</v>
      </c>
    </row>
    <row r="34" ht="15.75" customHeight="1">
      <c r="A34" s="16"/>
      <c r="B34" s="6"/>
      <c r="C34" s="6"/>
      <c r="D34" s="7" t="s">
        <v>37</v>
      </c>
      <c r="E34" s="7">
        <f>SUM(E28:E33)</f>
        <v>70.66</v>
      </c>
    </row>
    <row r="35" ht="15.75" customHeight="1"/>
    <row r="36" ht="15.75" customHeight="1">
      <c r="A36" s="17" t="s">
        <v>44</v>
      </c>
      <c r="B36" s="18" t="s">
        <v>25</v>
      </c>
      <c r="C36" s="19">
        <v>1.0</v>
      </c>
      <c r="D36" s="20">
        <v>30.0</v>
      </c>
      <c r="E36" s="21">
        <f t="shared" ref="E36:E41" si="5">C36*D36</f>
        <v>30</v>
      </c>
      <c r="G36" s="12" t="s">
        <v>45</v>
      </c>
    </row>
    <row r="37" ht="15.75" customHeight="1">
      <c r="A37" s="22"/>
      <c r="B37" s="18" t="s">
        <v>39</v>
      </c>
      <c r="C37" s="19">
        <v>1.0</v>
      </c>
      <c r="D37" s="21">
        <f>15+9</f>
        <v>24</v>
      </c>
      <c r="E37" s="21">
        <f t="shared" si="5"/>
        <v>24</v>
      </c>
    </row>
    <row r="38" ht="15.75" customHeight="1">
      <c r="A38" s="22"/>
      <c r="B38" s="23" t="s">
        <v>46</v>
      </c>
      <c r="C38" s="19">
        <v>1.0</v>
      </c>
      <c r="D38" s="20">
        <v>17.0</v>
      </c>
      <c r="E38" s="21">
        <f t="shared" si="5"/>
        <v>17</v>
      </c>
    </row>
    <row r="39" ht="15.75" customHeight="1">
      <c r="A39" s="22"/>
      <c r="B39" s="18" t="s">
        <v>16</v>
      </c>
      <c r="C39" s="19">
        <v>1.0</v>
      </c>
      <c r="D39" s="21">
        <v>3.5</v>
      </c>
      <c r="E39" s="21">
        <f t="shared" si="5"/>
        <v>3.5</v>
      </c>
    </row>
    <row r="40" ht="15.75" customHeight="1">
      <c r="A40" s="22"/>
      <c r="B40" s="18" t="s">
        <v>33</v>
      </c>
      <c r="C40" s="19">
        <f>1/200</f>
        <v>0.005</v>
      </c>
      <c r="D40" s="21">
        <v>17.0</v>
      </c>
      <c r="E40" s="21">
        <f t="shared" si="5"/>
        <v>0.085</v>
      </c>
    </row>
    <row r="41" ht="15.75" customHeight="1">
      <c r="A41" s="22"/>
      <c r="B41" s="18" t="s">
        <v>34</v>
      </c>
      <c r="C41" s="19">
        <f>1/40</f>
        <v>0.025</v>
      </c>
      <c r="D41" s="21">
        <v>3.0</v>
      </c>
      <c r="E41" s="21">
        <f t="shared" si="5"/>
        <v>0.075</v>
      </c>
    </row>
    <row r="42" ht="15.75" customHeight="1">
      <c r="A42" s="22"/>
      <c r="B42" s="18"/>
      <c r="C42" s="18"/>
      <c r="D42" s="24" t="s">
        <v>37</v>
      </c>
      <c r="E42" s="21">
        <f>SUM(E36:E41)</f>
        <v>74.66</v>
      </c>
    </row>
    <row r="43" ht="15.75" customHeight="1"/>
    <row r="44" ht="15.75" customHeight="1">
      <c r="A44" s="17" t="s">
        <v>47</v>
      </c>
      <c r="B44" s="18" t="s">
        <v>25</v>
      </c>
      <c r="C44" s="19">
        <v>1.0</v>
      </c>
      <c r="D44" s="20">
        <v>30.0</v>
      </c>
      <c r="E44" s="21">
        <f t="shared" ref="E44:E49" si="6">C44*D44</f>
        <v>30</v>
      </c>
      <c r="G44" s="12">
        <v>1.5</v>
      </c>
    </row>
    <row r="45" ht="15.75" customHeight="1">
      <c r="A45" s="22"/>
      <c r="B45" s="18" t="s">
        <v>39</v>
      </c>
      <c r="C45" s="19">
        <v>1.0</v>
      </c>
      <c r="D45" s="21">
        <f>10.5+5</f>
        <v>15.5</v>
      </c>
      <c r="E45" s="21">
        <f t="shared" si="6"/>
        <v>15.5</v>
      </c>
    </row>
    <row r="46" ht="15.75" customHeight="1">
      <c r="A46" s="22"/>
      <c r="B46" s="14" t="s">
        <v>41</v>
      </c>
      <c r="C46" s="19">
        <v>1.0</v>
      </c>
      <c r="D46" s="20">
        <v>8.0</v>
      </c>
      <c r="E46" s="21">
        <f t="shared" si="6"/>
        <v>8</v>
      </c>
    </row>
    <row r="47" ht="15.75" customHeight="1">
      <c r="A47" s="22"/>
      <c r="B47" s="18" t="s">
        <v>16</v>
      </c>
      <c r="C47" s="19">
        <v>1.0</v>
      </c>
      <c r="D47" s="20">
        <v>1.5</v>
      </c>
      <c r="E47" s="21">
        <f t="shared" si="6"/>
        <v>1.5</v>
      </c>
    </row>
    <row r="48" ht="15.75" customHeight="1">
      <c r="A48" s="22"/>
      <c r="B48" s="18" t="s">
        <v>33</v>
      </c>
      <c r="C48" s="19">
        <f>1/200</f>
        <v>0.005</v>
      </c>
      <c r="D48" s="21">
        <v>17.0</v>
      </c>
      <c r="E48" s="21">
        <f t="shared" si="6"/>
        <v>0.085</v>
      </c>
    </row>
    <row r="49" ht="15.75" customHeight="1">
      <c r="A49" s="22"/>
      <c r="B49" s="18" t="s">
        <v>34</v>
      </c>
      <c r="C49" s="19">
        <f>1/40</f>
        <v>0.025</v>
      </c>
      <c r="D49" s="21">
        <v>3.0</v>
      </c>
      <c r="E49" s="21">
        <f t="shared" si="6"/>
        <v>0.075</v>
      </c>
    </row>
    <row r="50" ht="15.75" customHeight="1">
      <c r="A50" s="22"/>
      <c r="B50" s="18"/>
      <c r="C50" s="18"/>
      <c r="D50" s="24" t="s">
        <v>37</v>
      </c>
      <c r="E50" s="21">
        <f>SUM(E44:E49)</f>
        <v>55.16</v>
      </c>
    </row>
    <row r="51" ht="15.75" customHeight="1"/>
    <row r="52" ht="15.75" customHeight="1"/>
    <row r="53" ht="15.75" customHeight="1">
      <c r="B53" s="12" t="s">
        <v>48</v>
      </c>
      <c r="C53" s="12">
        <v>1.0</v>
      </c>
      <c r="D53" s="20">
        <v>30.0</v>
      </c>
      <c r="E53" s="21">
        <f t="shared" ref="E53:E58" si="7">C53*D53</f>
        <v>30</v>
      </c>
    </row>
    <row r="54" ht="15.75" customHeight="1">
      <c r="B54" s="12" t="s">
        <v>49</v>
      </c>
      <c r="C54" s="12">
        <v>1.0</v>
      </c>
      <c r="D54" s="20">
        <v>3.0</v>
      </c>
      <c r="E54" s="21">
        <f t="shared" si="7"/>
        <v>3</v>
      </c>
    </row>
    <row r="55" ht="15.75" customHeight="1">
      <c r="B55" s="12" t="s">
        <v>50</v>
      </c>
      <c r="C55" s="12">
        <v>2.0</v>
      </c>
      <c r="D55" s="20">
        <v>2.0</v>
      </c>
      <c r="E55" s="21">
        <f t="shared" si="7"/>
        <v>4</v>
      </c>
    </row>
    <row r="56" ht="15.75" customHeight="1">
      <c r="B56" s="12" t="s">
        <v>51</v>
      </c>
      <c r="C56" s="12">
        <v>3.0</v>
      </c>
      <c r="D56" s="20">
        <v>1.0</v>
      </c>
      <c r="E56" s="21">
        <f t="shared" si="7"/>
        <v>3</v>
      </c>
    </row>
    <row r="57" ht="15.75" customHeight="1">
      <c r="B57" s="18" t="s">
        <v>16</v>
      </c>
      <c r="C57" s="19">
        <v>1.0</v>
      </c>
      <c r="D57" s="21">
        <v>17.0</v>
      </c>
      <c r="E57" s="21">
        <f t="shared" si="7"/>
        <v>17</v>
      </c>
    </row>
    <row r="58" ht="15.75" customHeight="1">
      <c r="B58" s="18" t="s">
        <v>33</v>
      </c>
      <c r="C58" s="19">
        <f>1/200</f>
        <v>0.005</v>
      </c>
      <c r="D58" s="21">
        <v>3.0</v>
      </c>
      <c r="E58" s="21">
        <f t="shared" si="7"/>
        <v>0.015</v>
      </c>
    </row>
    <row r="59" ht="15.75" customHeight="1">
      <c r="B59" s="18" t="s">
        <v>34</v>
      </c>
      <c r="C59" s="19">
        <f>1/40</f>
        <v>0.025</v>
      </c>
    </row>
    <row r="60" ht="15.75" customHeight="1"/>
    <row r="61" ht="15.75" customHeight="1"/>
    <row r="62" ht="15.75" customHeight="1"/>
    <row r="63" ht="15.75" customHeight="1">
      <c r="A63" s="12" t="s">
        <v>38</v>
      </c>
      <c r="B63" s="12" t="s">
        <v>25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B1:E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29"/>
    <col customWidth="1" min="2" max="2" width="28.0"/>
    <col customWidth="1" min="3" max="3" width="26.0"/>
    <col customWidth="1" min="4" max="4" width="24.0"/>
    <col customWidth="1" min="5" max="5" width="22.0"/>
    <col customWidth="1" min="6" max="27" width="8.71"/>
  </cols>
  <sheetData>
    <row r="1">
      <c r="A1" s="8"/>
      <c r="B1" s="1"/>
      <c r="C1" s="2"/>
      <c r="D1" s="2"/>
      <c r="E1" s="3"/>
    </row>
    <row r="2">
      <c r="A2" s="9" t="s">
        <v>18</v>
      </c>
      <c r="B2" s="4" t="s">
        <v>1</v>
      </c>
      <c r="C2" s="10" t="s">
        <v>19</v>
      </c>
      <c r="D2" s="5" t="s">
        <v>20</v>
      </c>
      <c r="E2" s="11" t="s">
        <v>21</v>
      </c>
      <c r="F2" s="12" t="s">
        <v>52</v>
      </c>
      <c r="H2" s="12" t="s">
        <v>22</v>
      </c>
      <c r="K2" s="12" t="s">
        <v>23</v>
      </c>
    </row>
    <row r="3">
      <c r="A3" s="13" t="s">
        <v>38</v>
      </c>
      <c r="B3" s="14" t="s">
        <v>53</v>
      </c>
      <c r="C3" s="14"/>
      <c r="D3" s="15"/>
      <c r="E3" s="7"/>
      <c r="G3" s="12"/>
      <c r="H3" s="12"/>
      <c r="I3" s="12"/>
      <c r="K3" s="12"/>
      <c r="L3" s="12"/>
      <c r="M3" s="12"/>
    </row>
    <row r="4">
      <c r="A4" s="13"/>
      <c r="B4" s="14" t="s">
        <v>25</v>
      </c>
      <c r="C4" s="14">
        <v>1.0</v>
      </c>
      <c r="D4" s="15">
        <v>34.0</v>
      </c>
      <c r="E4" s="7">
        <f t="shared" ref="E4:E10" si="1">C4*D4</f>
        <v>34</v>
      </c>
      <c r="F4" s="12">
        <v>22.0</v>
      </c>
      <c r="H4" s="12" t="s">
        <v>26</v>
      </c>
      <c r="I4" s="12">
        <v>500.0</v>
      </c>
      <c r="K4" s="12" t="s">
        <v>27</v>
      </c>
      <c r="L4" s="12">
        <v>8.0</v>
      </c>
      <c r="M4" s="12" t="s">
        <v>28</v>
      </c>
    </row>
    <row r="5">
      <c r="A5" s="16"/>
      <c r="B5" s="14" t="s">
        <v>29</v>
      </c>
      <c r="C5" s="14">
        <v>1.0</v>
      </c>
      <c r="D5" s="15">
        <v>20.0</v>
      </c>
      <c r="E5" s="7">
        <f t="shared" si="1"/>
        <v>20</v>
      </c>
      <c r="H5" s="12"/>
      <c r="I5" s="12"/>
    </row>
    <row r="6">
      <c r="A6" s="16"/>
      <c r="B6" s="14" t="s">
        <v>30</v>
      </c>
      <c r="C6" s="14">
        <v>1.0</v>
      </c>
      <c r="D6" s="15">
        <v>8.0</v>
      </c>
      <c r="E6" s="7">
        <f t="shared" si="1"/>
        <v>8</v>
      </c>
      <c r="H6" s="12" t="s">
        <v>31</v>
      </c>
      <c r="I6" s="12">
        <v>34.0</v>
      </c>
    </row>
    <row r="7">
      <c r="A7" s="16"/>
      <c r="B7" s="14" t="s">
        <v>32</v>
      </c>
      <c r="C7" s="6">
        <v>1.0</v>
      </c>
      <c r="D7" s="15">
        <v>25.0</v>
      </c>
      <c r="E7" s="7">
        <f t="shared" si="1"/>
        <v>25</v>
      </c>
    </row>
    <row r="8">
      <c r="A8" s="16"/>
      <c r="B8" s="14" t="s">
        <v>16</v>
      </c>
      <c r="C8" s="6">
        <v>1.0</v>
      </c>
      <c r="D8" s="15">
        <v>3.5</v>
      </c>
      <c r="E8" s="7">
        <f t="shared" si="1"/>
        <v>3.5</v>
      </c>
    </row>
    <row r="9">
      <c r="A9" s="16"/>
      <c r="B9" s="14" t="s">
        <v>33</v>
      </c>
      <c r="C9" s="14">
        <f>1/200</f>
        <v>0.005</v>
      </c>
      <c r="D9" s="15">
        <v>17.0</v>
      </c>
      <c r="E9" s="7">
        <f t="shared" si="1"/>
        <v>0.085</v>
      </c>
    </row>
    <row r="10">
      <c r="A10" s="16"/>
      <c r="B10" s="14" t="s">
        <v>34</v>
      </c>
      <c r="C10" s="6">
        <f>1/40</f>
        <v>0.025</v>
      </c>
      <c r="D10" s="15">
        <v>3.0</v>
      </c>
      <c r="E10" s="7">
        <f t="shared" si="1"/>
        <v>0.075</v>
      </c>
      <c r="K10" s="12" t="s">
        <v>35</v>
      </c>
    </row>
    <row r="11">
      <c r="A11" s="16"/>
      <c r="B11" s="6"/>
      <c r="C11" s="6"/>
      <c r="E11" s="7"/>
      <c r="K11" s="12" t="s">
        <v>36</v>
      </c>
    </row>
    <row r="12">
      <c r="D12" s="7" t="s">
        <v>37</v>
      </c>
      <c r="E12" s="25">
        <f>SUM(E4:E10)</f>
        <v>90.66</v>
      </c>
    </row>
    <row r="13">
      <c r="A13" s="13"/>
      <c r="B13" s="13"/>
      <c r="C13" s="13"/>
      <c r="D13" s="15" t="s">
        <v>54</v>
      </c>
      <c r="E13" s="26">
        <f>149</f>
        <v>149</v>
      </c>
    </row>
    <row r="14">
      <c r="A14" s="13"/>
      <c r="B14" s="13"/>
      <c r="C14" s="13"/>
      <c r="D14" s="15" t="s">
        <v>55</v>
      </c>
      <c r="E14" s="26">
        <f>E13*0.1</f>
        <v>14.9</v>
      </c>
    </row>
    <row r="15">
      <c r="A15" s="13"/>
      <c r="B15" s="13"/>
      <c r="C15" s="13"/>
      <c r="D15" s="15" t="s">
        <v>56</v>
      </c>
      <c r="E15" s="26">
        <f>E13*0.18</f>
        <v>26.82</v>
      </c>
    </row>
    <row r="16">
      <c r="A16" s="13"/>
      <c r="B16" s="13"/>
      <c r="C16" s="13"/>
    </row>
    <row r="17">
      <c r="A17" s="13" t="s">
        <v>24</v>
      </c>
      <c r="B17" s="14" t="s">
        <v>57</v>
      </c>
      <c r="C17" s="13"/>
    </row>
    <row r="18">
      <c r="A18" s="13"/>
      <c r="B18" s="14" t="s">
        <v>25</v>
      </c>
      <c r="C18" s="14">
        <v>1.0</v>
      </c>
      <c r="D18" s="15">
        <v>56.0</v>
      </c>
      <c r="E18" s="7">
        <f t="shared" ref="E18:E24" si="2">C18*D18</f>
        <v>56</v>
      </c>
      <c r="F18" s="12">
        <v>34.0</v>
      </c>
    </row>
    <row r="19">
      <c r="A19" s="16"/>
      <c r="B19" s="14" t="s">
        <v>58</v>
      </c>
      <c r="C19" s="14">
        <v>1.0</v>
      </c>
      <c r="D19" s="15">
        <v>20.0</v>
      </c>
      <c r="E19" s="7">
        <f t="shared" si="2"/>
        <v>20</v>
      </c>
    </row>
    <row r="20">
      <c r="A20" s="16"/>
      <c r="B20" s="14" t="s">
        <v>30</v>
      </c>
      <c r="C20" s="14">
        <v>1.0</v>
      </c>
      <c r="D20" s="15">
        <v>9.0</v>
      </c>
      <c r="E20" s="7">
        <f t="shared" si="2"/>
        <v>9</v>
      </c>
    </row>
    <row r="21">
      <c r="A21" s="16"/>
      <c r="B21" s="14" t="s">
        <v>32</v>
      </c>
      <c r="C21" s="6">
        <v>1.0</v>
      </c>
      <c r="D21" s="15">
        <v>25.0</v>
      </c>
      <c r="E21" s="7">
        <f t="shared" si="2"/>
        <v>25</v>
      </c>
    </row>
    <row r="22">
      <c r="A22" s="16"/>
      <c r="B22" s="14" t="s">
        <v>16</v>
      </c>
      <c r="C22" s="6">
        <v>1.0</v>
      </c>
      <c r="D22" s="15">
        <v>3.5</v>
      </c>
      <c r="E22" s="7">
        <f t="shared" si="2"/>
        <v>3.5</v>
      </c>
    </row>
    <row r="23">
      <c r="A23" s="16"/>
      <c r="B23" s="14" t="s">
        <v>33</v>
      </c>
      <c r="C23" s="14">
        <f>1/200</f>
        <v>0.005</v>
      </c>
      <c r="D23" s="15">
        <v>17.0</v>
      </c>
      <c r="E23" s="7">
        <f t="shared" si="2"/>
        <v>0.085</v>
      </c>
    </row>
    <row r="24">
      <c r="A24" s="16"/>
      <c r="B24" s="14" t="s">
        <v>34</v>
      </c>
      <c r="C24" s="6">
        <f>1/40</f>
        <v>0.025</v>
      </c>
      <c r="D24" s="15">
        <v>3.0</v>
      </c>
      <c r="E24" s="7">
        <f t="shared" si="2"/>
        <v>0.075</v>
      </c>
    </row>
    <row r="25">
      <c r="A25" s="16"/>
      <c r="B25" s="6"/>
      <c r="C25" s="6"/>
      <c r="D25" s="7" t="s">
        <v>37</v>
      </c>
      <c r="E25" s="7">
        <f>SUM(E18:E24)</f>
        <v>113.66</v>
      </c>
    </row>
    <row r="26">
      <c r="D26" s="12" t="s">
        <v>54</v>
      </c>
      <c r="E26" s="12">
        <v>169.0</v>
      </c>
    </row>
    <row r="27">
      <c r="D27" s="12" t="s">
        <v>55</v>
      </c>
      <c r="E27" s="27">
        <f>E26*0.1</f>
        <v>16.9</v>
      </c>
    </row>
    <row r="28">
      <c r="D28" s="12" t="s">
        <v>56</v>
      </c>
      <c r="E28" s="27">
        <f>E26-E27</f>
        <v>152.1</v>
      </c>
    </row>
    <row r="30">
      <c r="A30" s="13" t="s">
        <v>59</v>
      </c>
      <c r="B30" s="14" t="s">
        <v>25</v>
      </c>
      <c r="C30" s="14">
        <v>1.0</v>
      </c>
      <c r="D30" s="15">
        <v>56.1</v>
      </c>
      <c r="E30" s="7">
        <f t="shared" ref="E30:E32" si="3">C30*D30</f>
        <v>56.1</v>
      </c>
      <c r="G30" s="12">
        <v>2.0</v>
      </c>
    </row>
    <row r="31">
      <c r="A31" s="16"/>
      <c r="B31" s="14" t="s">
        <v>39</v>
      </c>
      <c r="C31" s="14">
        <v>1.0</v>
      </c>
      <c r="D31" s="15">
        <v>29.0</v>
      </c>
      <c r="E31" s="7">
        <f t="shared" si="3"/>
        <v>29</v>
      </c>
    </row>
    <row r="32" ht="15.75" customHeight="1">
      <c r="A32" s="16"/>
      <c r="B32" s="14" t="s">
        <v>60</v>
      </c>
      <c r="C32" s="6">
        <v>1.0</v>
      </c>
      <c r="D32" s="15">
        <v>4.0</v>
      </c>
      <c r="E32" s="7">
        <f t="shared" si="3"/>
        <v>4</v>
      </c>
    </row>
    <row r="33" ht="15.75" customHeight="1">
      <c r="A33" s="16"/>
      <c r="B33" s="14" t="s">
        <v>61</v>
      </c>
      <c r="C33" s="6"/>
      <c r="D33" s="15"/>
      <c r="E33" s="7"/>
    </row>
    <row r="34" ht="15.75" customHeight="1">
      <c r="A34" s="16"/>
      <c r="B34" s="14" t="s">
        <v>16</v>
      </c>
      <c r="C34" s="6">
        <v>1.0</v>
      </c>
      <c r="D34" s="15">
        <v>3.5</v>
      </c>
      <c r="E34" s="7">
        <f t="shared" ref="E34:E36" si="4">C34*D34</f>
        <v>3.5</v>
      </c>
    </row>
    <row r="35" ht="15.75" customHeight="1">
      <c r="A35" s="16"/>
      <c r="B35" s="14" t="s">
        <v>33</v>
      </c>
      <c r="C35" s="14">
        <f>1/200</f>
        <v>0.005</v>
      </c>
      <c r="D35" s="15">
        <v>17.0</v>
      </c>
      <c r="E35" s="7">
        <f t="shared" si="4"/>
        <v>0.085</v>
      </c>
    </row>
    <row r="36" ht="15.75" customHeight="1">
      <c r="A36" s="16"/>
      <c r="B36" s="14" t="s">
        <v>34</v>
      </c>
      <c r="C36" s="6">
        <f>1/40</f>
        <v>0.025</v>
      </c>
      <c r="D36" s="15">
        <v>3.0</v>
      </c>
      <c r="E36" s="7">
        <f t="shared" si="4"/>
        <v>0.075</v>
      </c>
    </row>
    <row r="37" ht="15.75" customHeight="1">
      <c r="A37" s="16"/>
      <c r="B37" s="6"/>
      <c r="C37" s="6"/>
      <c r="D37" s="7" t="s">
        <v>37</v>
      </c>
      <c r="E37" s="7">
        <f>SUM(E29:E36)</f>
        <v>92.76</v>
      </c>
    </row>
    <row r="38" ht="15.75" customHeight="1">
      <c r="D38" s="12" t="s">
        <v>54</v>
      </c>
      <c r="E38" s="12">
        <v>149.0</v>
      </c>
    </row>
    <row r="39" ht="15.75" customHeight="1">
      <c r="D39" s="12" t="s">
        <v>55</v>
      </c>
      <c r="E39" s="27">
        <f>E38*0.1</f>
        <v>14.9</v>
      </c>
    </row>
    <row r="40" ht="15.75" customHeight="1">
      <c r="D40" s="12" t="s">
        <v>56</v>
      </c>
      <c r="E40" s="27">
        <f>E38-E39</f>
        <v>134.1</v>
      </c>
    </row>
    <row r="41" ht="15.75" customHeight="1"/>
    <row r="42" ht="15.75" customHeight="1">
      <c r="A42" s="13" t="s">
        <v>42</v>
      </c>
      <c r="B42" s="14" t="s">
        <v>25</v>
      </c>
      <c r="C42" s="14">
        <v>1.0</v>
      </c>
      <c r="D42" s="15">
        <v>57.8</v>
      </c>
      <c r="E42" s="7">
        <f t="shared" ref="E42:E47" si="5">C42*D42</f>
        <v>57.8</v>
      </c>
    </row>
    <row r="43" ht="15.75" customHeight="1">
      <c r="A43" s="16"/>
      <c r="B43" s="14" t="s">
        <v>39</v>
      </c>
      <c r="C43" s="14">
        <v>1.0</v>
      </c>
      <c r="D43" s="7">
        <f>29</f>
        <v>29</v>
      </c>
      <c r="E43" s="7">
        <f t="shared" si="5"/>
        <v>29</v>
      </c>
    </row>
    <row r="44" ht="15.75" customHeight="1">
      <c r="A44" s="16"/>
      <c r="B44" s="14" t="s">
        <v>43</v>
      </c>
      <c r="C44" s="6">
        <v>1.0</v>
      </c>
      <c r="D44" s="15">
        <v>12.0</v>
      </c>
      <c r="E44" s="7">
        <f t="shared" si="5"/>
        <v>12</v>
      </c>
    </row>
    <row r="45" ht="15.75" customHeight="1">
      <c r="A45" s="16"/>
      <c r="B45" s="14" t="s">
        <v>16</v>
      </c>
      <c r="C45" s="6">
        <v>1.0</v>
      </c>
      <c r="D45" s="15">
        <v>3.5</v>
      </c>
      <c r="E45" s="7">
        <f t="shared" si="5"/>
        <v>3.5</v>
      </c>
    </row>
    <row r="46" ht="15.75" customHeight="1">
      <c r="A46" s="16"/>
      <c r="B46" s="14" t="s">
        <v>33</v>
      </c>
      <c r="C46" s="14">
        <f>1/200</f>
        <v>0.005</v>
      </c>
      <c r="D46" s="15">
        <v>17.0</v>
      </c>
      <c r="E46" s="7">
        <f t="shared" si="5"/>
        <v>0.085</v>
      </c>
    </row>
    <row r="47" ht="15.75" customHeight="1">
      <c r="A47" s="16"/>
      <c r="B47" s="14" t="s">
        <v>34</v>
      </c>
      <c r="C47" s="6">
        <f>1/40</f>
        <v>0.025</v>
      </c>
      <c r="D47" s="15">
        <v>3.0</v>
      </c>
      <c r="E47" s="7">
        <f t="shared" si="5"/>
        <v>0.075</v>
      </c>
    </row>
    <row r="48" ht="15.75" customHeight="1">
      <c r="A48" s="16"/>
      <c r="B48" s="6"/>
      <c r="C48" s="6"/>
      <c r="D48" s="7" t="s">
        <v>37</v>
      </c>
      <c r="E48" s="7">
        <f>SUM(E41:E47)</f>
        <v>102.46</v>
      </c>
    </row>
    <row r="49" ht="15.75" customHeight="1">
      <c r="D49" s="12" t="s">
        <v>54</v>
      </c>
      <c r="E49" s="12">
        <v>149.0</v>
      </c>
    </row>
    <row r="50" ht="15.75" customHeight="1">
      <c r="D50" s="12" t="s">
        <v>55</v>
      </c>
      <c r="E50" s="27">
        <f>E49*0.1</f>
        <v>14.9</v>
      </c>
    </row>
    <row r="51" ht="15.75" customHeight="1">
      <c r="D51" s="12" t="s">
        <v>56</v>
      </c>
      <c r="E51" s="27">
        <f>E49-E50</f>
        <v>134.1</v>
      </c>
    </row>
    <row r="52" ht="15.75" customHeight="1"/>
    <row r="53" ht="15.75" customHeight="1"/>
    <row r="54" ht="15.75" customHeight="1">
      <c r="B54" s="12" t="s">
        <v>62</v>
      </c>
      <c r="C54" s="12">
        <v>1.0</v>
      </c>
      <c r="D54" s="20">
        <v>30.0</v>
      </c>
      <c r="E54" s="21">
        <f t="shared" ref="E54:E59" si="6">C54*D54</f>
        <v>30</v>
      </c>
    </row>
    <row r="55" ht="15.75" customHeight="1">
      <c r="B55" s="12" t="s">
        <v>49</v>
      </c>
      <c r="C55" s="12">
        <v>1.0</v>
      </c>
      <c r="D55" s="20">
        <v>3.0</v>
      </c>
      <c r="E55" s="21">
        <f t="shared" si="6"/>
        <v>3</v>
      </c>
    </row>
    <row r="56" ht="15.75" customHeight="1">
      <c r="B56" s="12" t="s">
        <v>50</v>
      </c>
      <c r="C56" s="12">
        <v>2.0</v>
      </c>
      <c r="D56" s="20">
        <v>2.0</v>
      </c>
      <c r="E56" s="21">
        <f t="shared" si="6"/>
        <v>4</v>
      </c>
    </row>
    <row r="57" ht="15.75" customHeight="1">
      <c r="B57" s="12" t="s">
        <v>51</v>
      </c>
      <c r="C57" s="12">
        <v>3.0</v>
      </c>
      <c r="D57" s="20">
        <v>1.0</v>
      </c>
      <c r="E57" s="21">
        <f t="shared" si="6"/>
        <v>3</v>
      </c>
    </row>
    <row r="58" ht="15.75" customHeight="1">
      <c r="B58" s="18" t="s">
        <v>16</v>
      </c>
      <c r="C58" s="19">
        <v>1.0</v>
      </c>
      <c r="D58" s="21">
        <v>17.0</v>
      </c>
      <c r="E58" s="21">
        <f t="shared" si="6"/>
        <v>17</v>
      </c>
    </row>
    <row r="59" ht="15.75" customHeight="1">
      <c r="B59" s="18" t="s">
        <v>33</v>
      </c>
      <c r="C59" s="19">
        <f>1/200</f>
        <v>0.005</v>
      </c>
      <c r="D59" s="21">
        <v>3.0</v>
      </c>
      <c r="E59" s="21">
        <f t="shared" si="6"/>
        <v>0.015</v>
      </c>
    </row>
    <row r="60" ht="15.75" customHeight="1">
      <c r="B60" s="18" t="s">
        <v>34</v>
      </c>
      <c r="C60" s="19">
        <f>1/40</f>
        <v>0.025</v>
      </c>
    </row>
    <row r="61" ht="15.75" customHeight="1"/>
    <row r="62" ht="15.75" customHeight="1"/>
    <row r="63" ht="15.75" customHeight="1">
      <c r="B63" s="12" t="s">
        <v>63</v>
      </c>
      <c r="C63" s="12">
        <v>1.0</v>
      </c>
      <c r="D63" s="15">
        <v>42.5</v>
      </c>
      <c r="E63" s="7">
        <f t="shared" ref="E63:E68" si="7">C63*D63</f>
        <v>42.5</v>
      </c>
    </row>
    <row r="64" ht="15.75" customHeight="1">
      <c r="B64" s="14" t="s">
        <v>39</v>
      </c>
      <c r="C64" s="14">
        <v>1.0</v>
      </c>
      <c r="D64" s="7">
        <f>29</f>
        <v>29</v>
      </c>
      <c r="E64" s="7">
        <f t="shared" si="7"/>
        <v>29</v>
      </c>
    </row>
    <row r="65" ht="15.75" customHeight="1">
      <c r="B65" s="14" t="s">
        <v>32</v>
      </c>
      <c r="C65" s="6">
        <v>1.0</v>
      </c>
      <c r="D65" s="15">
        <v>17.0</v>
      </c>
      <c r="E65" s="7">
        <f t="shared" si="7"/>
        <v>17</v>
      </c>
    </row>
    <row r="66" ht="15.75" customHeight="1">
      <c r="B66" s="14" t="s">
        <v>16</v>
      </c>
      <c r="C66" s="6">
        <v>1.0</v>
      </c>
      <c r="D66" s="15">
        <v>3.5</v>
      </c>
      <c r="E66" s="7">
        <f t="shared" si="7"/>
        <v>3.5</v>
      </c>
    </row>
    <row r="67" ht="15.75" customHeight="1">
      <c r="B67" s="14" t="s">
        <v>33</v>
      </c>
      <c r="C67" s="14">
        <f>1/200</f>
        <v>0.005</v>
      </c>
      <c r="D67" s="15">
        <v>17.0</v>
      </c>
      <c r="E67" s="7">
        <f t="shared" si="7"/>
        <v>0.085</v>
      </c>
    </row>
    <row r="68" ht="15.75" customHeight="1">
      <c r="B68" s="14" t="s">
        <v>34</v>
      </c>
      <c r="C68" s="6">
        <f>1/40</f>
        <v>0.025</v>
      </c>
      <c r="D68" s="15">
        <v>3.0</v>
      </c>
      <c r="E68" s="7">
        <f t="shared" si="7"/>
        <v>0.075</v>
      </c>
    </row>
    <row r="69" ht="15.75" customHeight="1">
      <c r="D69" s="7" t="s">
        <v>37</v>
      </c>
      <c r="E69" s="7">
        <f>SUM(E62:E68)</f>
        <v>92.16</v>
      </c>
    </row>
    <row r="70" ht="15.75" customHeight="1">
      <c r="D70" s="12" t="s">
        <v>54</v>
      </c>
      <c r="E70" s="12">
        <v>149.0</v>
      </c>
    </row>
    <row r="71" ht="15.75" customHeight="1">
      <c r="D71" s="12" t="s">
        <v>55</v>
      </c>
      <c r="E71" s="27">
        <f>E70*0.1</f>
        <v>14.9</v>
      </c>
    </row>
    <row r="72" ht="15.75" customHeight="1">
      <c r="D72" s="12" t="s">
        <v>56</v>
      </c>
      <c r="E72" s="27">
        <f>E70-E71</f>
        <v>134.1</v>
      </c>
    </row>
    <row r="73" ht="15.75" customHeight="1"/>
    <row r="74" ht="15.75" customHeight="1"/>
    <row r="75" ht="15.75" customHeight="1">
      <c r="B75" s="12" t="s">
        <v>64</v>
      </c>
      <c r="C75" s="12">
        <v>1.0</v>
      </c>
      <c r="D75" s="12">
        <v>5.0</v>
      </c>
    </row>
    <row r="76" ht="15.75" customHeight="1">
      <c r="B76" s="12" t="s">
        <v>65</v>
      </c>
      <c r="C76" s="14">
        <v>1.0</v>
      </c>
      <c r="D76" s="27">
        <f>10/100</f>
        <v>0.1</v>
      </c>
    </row>
    <row r="77" ht="15.75" customHeight="1">
      <c r="C77" s="6">
        <v>1.0</v>
      </c>
    </row>
    <row r="78" ht="15.75" customHeight="1">
      <c r="C78" s="6">
        <v>1.0</v>
      </c>
    </row>
    <row r="79" ht="15.75" customHeight="1">
      <c r="C79" s="14">
        <f>1/200</f>
        <v>0.005</v>
      </c>
    </row>
    <row r="80" ht="15.75" customHeight="1">
      <c r="C80" s="6">
        <f>1/40</f>
        <v>0.025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">
    <mergeCell ref="B1:E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0.0"/>
    <col customWidth="1" min="2" max="2" width="28.0"/>
    <col customWidth="1" min="3" max="5" width="8.71"/>
    <col customWidth="1" min="6" max="6" width="32.57"/>
    <col customWidth="1" min="7" max="7" width="21.86"/>
    <col customWidth="1" min="8" max="26" width="8.71"/>
  </cols>
  <sheetData>
    <row r="1">
      <c r="A1" s="1" t="s">
        <v>66</v>
      </c>
      <c r="B1" s="3"/>
    </row>
    <row r="2">
      <c r="A2" s="10" t="s">
        <v>67</v>
      </c>
      <c r="B2" s="4" t="s">
        <v>68</v>
      </c>
      <c r="F2" s="10" t="s">
        <v>67</v>
      </c>
      <c r="G2" s="4" t="s">
        <v>68</v>
      </c>
    </row>
    <row r="3">
      <c r="A3" s="28" t="s">
        <v>24</v>
      </c>
      <c r="B3" s="7"/>
      <c r="F3" s="28" t="s">
        <v>38</v>
      </c>
      <c r="G3" s="7"/>
    </row>
    <row r="4">
      <c r="A4" s="6" t="s">
        <v>69</v>
      </c>
      <c r="B4" s="7">
        <f>'Costos Unitarios'!E10*1.3</f>
        <v>110.058</v>
      </c>
      <c r="F4" s="6" t="s">
        <v>69</v>
      </c>
      <c r="G4" s="7">
        <f>'Costos Unitarios'!$E$18*1.3</f>
        <v>99.658</v>
      </c>
    </row>
    <row r="5">
      <c r="A5" s="6" t="s">
        <v>70</v>
      </c>
      <c r="B5" s="7">
        <f>'Costos Unitarios'!E10*1.4</f>
        <v>118.524</v>
      </c>
      <c r="F5" s="6" t="s">
        <v>70</v>
      </c>
      <c r="G5" s="7">
        <f>'Costos Unitarios'!$E$18*1.4</f>
        <v>107.324</v>
      </c>
    </row>
    <row r="6">
      <c r="A6" s="29">
        <v>0.9</v>
      </c>
      <c r="B6" s="7">
        <f>'Costos Unitarios'!E10*1.9</f>
        <v>160.854</v>
      </c>
      <c r="F6" s="29">
        <v>0.9</v>
      </c>
      <c r="G6" s="7">
        <f>'Costos Unitarios'!$E$18*1.9</f>
        <v>145.654</v>
      </c>
    </row>
    <row r="7">
      <c r="A7" s="6"/>
      <c r="B7" s="6"/>
      <c r="F7" s="6"/>
      <c r="G7" s="6"/>
    </row>
    <row r="8">
      <c r="A8" s="6" t="s">
        <v>71</v>
      </c>
      <c r="B8" s="6" t="s">
        <v>72</v>
      </c>
      <c r="C8" s="12" t="s">
        <v>73</v>
      </c>
      <c r="D8" s="30" t="s">
        <v>74</v>
      </c>
      <c r="F8" s="6" t="s">
        <v>71</v>
      </c>
      <c r="G8" s="6" t="s">
        <v>72</v>
      </c>
      <c r="H8" s="12" t="s">
        <v>73</v>
      </c>
      <c r="I8" s="30" t="s">
        <v>74</v>
      </c>
    </row>
    <row r="9">
      <c r="A9" s="14" t="s">
        <v>75</v>
      </c>
      <c r="B9" s="7">
        <f>(B14* 2)*(1-0.05)</f>
        <v>321.1</v>
      </c>
      <c r="C9" s="27">
        <f t="shared" ref="C9:C10" si="1">B9*0.12</f>
        <v>38.532</v>
      </c>
      <c r="D9" s="31">
        <f>+B9-(74.66*2-20)-C9</f>
        <v>153.248</v>
      </c>
      <c r="F9" s="14" t="s">
        <v>75</v>
      </c>
      <c r="G9" s="7">
        <f>(+G14*2)*(1-0.05)</f>
        <v>283.1</v>
      </c>
      <c r="H9" s="27">
        <f t="shared" ref="H9:H10" si="2">G9*0.12</f>
        <v>33.972</v>
      </c>
      <c r="I9" s="31">
        <f>+G9-(64.66*2-20)-H9</f>
        <v>139.808</v>
      </c>
      <c r="K9" s="27">
        <f>149*2</f>
        <v>298</v>
      </c>
    </row>
    <row r="10">
      <c r="A10" s="14" t="s">
        <v>76</v>
      </c>
      <c r="B10" s="7">
        <f>(B14*3)*(1-0.05)</f>
        <v>481.65</v>
      </c>
      <c r="C10" s="27">
        <f t="shared" si="1"/>
        <v>57.798</v>
      </c>
      <c r="D10" s="31">
        <f>+B10-(74.66*3-40)-C10</f>
        <v>239.872</v>
      </c>
      <c r="F10" s="14" t="s">
        <v>76</v>
      </c>
      <c r="G10" s="7">
        <f>(+G14*3)*(1-0.08)</f>
        <v>411.24</v>
      </c>
      <c r="H10" s="27">
        <f t="shared" si="2"/>
        <v>49.3488</v>
      </c>
      <c r="I10" s="31">
        <f>+G10-(64.66*3-40)-H10</f>
        <v>207.9112</v>
      </c>
      <c r="K10" s="27">
        <f>149*3</f>
        <v>447</v>
      </c>
    </row>
    <row r="12">
      <c r="C12" s="12" t="s">
        <v>73</v>
      </c>
      <c r="D12" s="30" t="s">
        <v>74</v>
      </c>
      <c r="H12" s="12" t="s">
        <v>73</v>
      </c>
      <c r="I12" s="30" t="s">
        <v>74</v>
      </c>
    </row>
    <row r="13">
      <c r="A13" s="12" t="s">
        <v>77</v>
      </c>
      <c r="B13" s="27">
        <f>B6*1.18</f>
        <v>189.80772</v>
      </c>
      <c r="F13" s="12" t="s">
        <v>77</v>
      </c>
      <c r="G13" s="27">
        <f>G6*1.18</f>
        <v>171.87172</v>
      </c>
    </row>
    <row r="14">
      <c r="A14" s="32" t="s">
        <v>78</v>
      </c>
      <c r="B14" s="32">
        <v>169.0</v>
      </c>
      <c r="C14" s="27">
        <f>B14*0.12</f>
        <v>20.28</v>
      </c>
      <c r="D14" s="27">
        <f>B14-C14</f>
        <v>148.72</v>
      </c>
      <c r="F14" s="32" t="s">
        <v>78</v>
      </c>
      <c r="G14" s="32">
        <v>149.0</v>
      </c>
    </row>
    <row r="18">
      <c r="A18" s="28" t="s">
        <v>40</v>
      </c>
      <c r="B18" s="7"/>
      <c r="F18" s="28" t="s">
        <v>42</v>
      </c>
      <c r="G18" s="7"/>
    </row>
    <row r="19">
      <c r="A19" s="6" t="s">
        <v>69</v>
      </c>
      <c r="B19" s="7">
        <f>'Costos Unitarios'!E25*1.3</f>
        <v>0.0975</v>
      </c>
      <c r="F19" s="6" t="s">
        <v>69</v>
      </c>
      <c r="G19" s="7">
        <f>'Costos Unitarios'!$E$18*1.3</f>
        <v>99.658</v>
      </c>
    </row>
    <row r="20">
      <c r="A20" s="6" t="s">
        <v>70</v>
      </c>
      <c r="B20" s="7">
        <f>'Costos Unitarios'!E25*1.4</f>
        <v>0.105</v>
      </c>
      <c r="F20" s="6" t="s">
        <v>70</v>
      </c>
      <c r="G20" s="7">
        <f>'Costos Unitarios'!$E$18*1.4</f>
        <v>107.324</v>
      </c>
    </row>
    <row r="21">
      <c r="A21" s="29">
        <v>0.9</v>
      </c>
      <c r="B21" s="7">
        <f>'Costos Unitarios'!E25*1.9</f>
        <v>0.1425</v>
      </c>
      <c r="F21" s="29">
        <v>0.9</v>
      </c>
      <c r="G21" s="7">
        <f>'Costos Unitarios'!$E$18*1.9</f>
        <v>145.654</v>
      </c>
    </row>
    <row r="22" ht="15.75" customHeight="1">
      <c r="A22" s="6"/>
      <c r="B22" s="6"/>
      <c r="F22" s="6"/>
      <c r="G22" s="6"/>
    </row>
    <row r="23" ht="15.75" customHeight="1">
      <c r="A23" s="6" t="s">
        <v>71</v>
      </c>
      <c r="B23" s="6" t="s">
        <v>72</v>
      </c>
      <c r="C23" s="12" t="s">
        <v>73</v>
      </c>
      <c r="D23" s="30" t="s">
        <v>74</v>
      </c>
      <c r="F23" s="6" t="s">
        <v>71</v>
      </c>
      <c r="G23" s="6" t="s">
        <v>72</v>
      </c>
      <c r="H23" s="12" t="s">
        <v>73</v>
      </c>
      <c r="I23" s="30" t="s">
        <v>74</v>
      </c>
    </row>
    <row r="24" ht="15.75" customHeight="1">
      <c r="A24" s="14" t="s">
        <v>79</v>
      </c>
      <c r="B24" s="7">
        <f>(B29* 2)*(1-0.05)</f>
        <v>321.1</v>
      </c>
      <c r="C24" s="27">
        <f t="shared" ref="C24:C25" si="3">B24*0.12</f>
        <v>38.532</v>
      </c>
      <c r="D24" s="31">
        <f>+B24-(74.66*2-20)-C24</f>
        <v>153.248</v>
      </c>
      <c r="F24" s="14" t="s">
        <v>79</v>
      </c>
      <c r="G24" s="7">
        <f>(+G29*2)*(1-0.05)</f>
        <v>283.1</v>
      </c>
      <c r="H24" s="27">
        <f t="shared" ref="H24:H25" si="4">G24*0.12</f>
        <v>33.972</v>
      </c>
      <c r="I24" s="31">
        <f>+G24-(64.66*2-20)-H24</f>
        <v>139.808</v>
      </c>
      <c r="K24" s="27">
        <f>149*2</f>
        <v>298</v>
      </c>
    </row>
    <row r="25" ht="15.75" customHeight="1">
      <c r="A25" s="14" t="s">
        <v>80</v>
      </c>
      <c r="B25" s="7">
        <f>(B29*3)*(1-0.05)</f>
        <v>481.65</v>
      </c>
      <c r="C25" s="27">
        <f t="shared" si="3"/>
        <v>57.798</v>
      </c>
      <c r="D25" s="31">
        <f>+B25-(74.66*3-40)-C25</f>
        <v>239.872</v>
      </c>
      <c r="F25" s="14" t="s">
        <v>80</v>
      </c>
      <c r="G25" s="7">
        <f>(+G29*3)*(1-0.08)</f>
        <v>411.24</v>
      </c>
      <c r="H25" s="27">
        <f t="shared" si="4"/>
        <v>49.3488</v>
      </c>
      <c r="I25" s="31">
        <f>+G25-(64.66*3-40)-H25</f>
        <v>207.9112</v>
      </c>
      <c r="K25" s="27">
        <f>149*3</f>
        <v>447</v>
      </c>
    </row>
    <row r="26" ht="15.75" customHeight="1"/>
    <row r="27" ht="15.75" customHeight="1">
      <c r="C27" s="12" t="s">
        <v>73</v>
      </c>
      <c r="D27" s="30" t="s">
        <v>74</v>
      </c>
      <c r="H27" s="12" t="s">
        <v>73</v>
      </c>
      <c r="I27" s="30" t="s">
        <v>74</v>
      </c>
    </row>
    <row r="28" ht="15.75" customHeight="1">
      <c r="A28" s="12" t="s">
        <v>77</v>
      </c>
      <c r="B28" s="27">
        <f>B21*1.18</f>
        <v>0.16815</v>
      </c>
      <c r="F28" s="12" t="s">
        <v>77</v>
      </c>
      <c r="G28" s="27">
        <f>G21*1.18</f>
        <v>171.87172</v>
      </c>
    </row>
    <row r="29" ht="15.75" customHeight="1">
      <c r="A29" s="32" t="s">
        <v>78</v>
      </c>
      <c r="B29" s="32">
        <v>169.0</v>
      </c>
      <c r="C29" s="27">
        <f>B29*0.12</f>
        <v>20.28</v>
      </c>
      <c r="D29" s="27">
        <f>B29-C29</f>
        <v>148.72</v>
      </c>
      <c r="F29" s="32" t="s">
        <v>78</v>
      </c>
      <c r="G29" s="32">
        <v>149.0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8.0"/>
    <col customWidth="1" min="2" max="2" width="28.0"/>
    <col customWidth="1" min="3" max="26" width="8.71"/>
  </cols>
  <sheetData>
    <row r="1">
      <c r="A1" s="33" t="s">
        <v>81</v>
      </c>
      <c r="B1" s="3"/>
    </row>
    <row r="2">
      <c r="A2" s="6" t="s">
        <v>82</v>
      </c>
      <c r="B2" s="15">
        <f>B15</f>
        <v>2855</v>
      </c>
    </row>
    <row r="3">
      <c r="A3" s="14" t="s">
        <v>83</v>
      </c>
      <c r="B3" s="7">
        <f>'Costos Unitarios'!E10</f>
        <v>84.66</v>
      </c>
      <c r="C3" s="27">
        <f t="shared" ref="C3:C4" si="1">B3*44*12</f>
        <v>44700.48</v>
      </c>
    </row>
    <row r="4">
      <c r="A4" s="6" t="s">
        <v>84</v>
      </c>
      <c r="B4" s="7">
        <f>'Precios y Combos'!B6</f>
        <v>160.854</v>
      </c>
      <c r="C4" s="27">
        <f t="shared" si="1"/>
        <v>84930.912</v>
      </c>
    </row>
    <row r="5">
      <c r="A5" s="6" t="s">
        <v>85</v>
      </c>
      <c r="B5" s="7">
        <f>B4-B3</f>
        <v>76.194</v>
      </c>
    </row>
    <row r="6">
      <c r="A6" s="14" t="s">
        <v>86</v>
      </c>
      <c r="B6" s="6">
        <f>CEILING(B2/B5,1)</f>
        <v>38</v>
      </c>
    </row>
    <row r="9">
      <c r="A9" s="12" t="s">
        <v>87</v>
      </c>
      <c r="B9" s="27">
        <f>40</f>
        <v>40</v>
      </c>
    </row>
    <row r="10">
      <c r="A10" s="12" t="s">
        <v>88</v>
      </c>
      <c r="B10" s="27">
        <f>15</f>
        <v>15</v>
      </c>
    </row>
    <row r="11">
      <c r="A11" s="12" t="s">
        <v>89</v>
      </c>
      <c r="B11" s="27">
        <f>600</f>
        <v>600</v>
      </c>
    </row>
    <row r="12">
      <c r="A12" s="12" t="s">
        <v>90</v>
      </c>
      <c r="B12" s="27">
        <f>1200</f>
        <v>1200</v>
      </c>
    </row>
    <row r="13">
      <c r="A13" s="12" t="s">
        <v>91</v>
      </c>
      <c r="B13" s="12">
        <v>200.0</v>
      </c>
    </row>
    <row r="14">
      <c r="A14" s="12" t="s">
        <v>92</v>
      </c>
      <c r="B14" s="12">
        <v>800.0</v>
      </c>
    </row>
    <row r="15">
      <c r="B15" s="27">
        <f>SUM(B9:B14)</f>
        <v>2855</v>
      </c>
      <c r="C15" s="27">
        <f>B15*12</f>
        <v>34260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3">
      <c r="B3" s="12" t="s">
        <v>93</v>
      </c>
    </row>
    <row r="4">
      <c r="B4" s="12" t="s">
        <v>94</v>
      </c>
    </row>
    <row r="8">
      <c r="B8" s="12" t="s">
        <v>95</v>
      </c>
    </row>
    <row r="9">
      <c r="B9" s="12" t="s">
        <v>38</v>
      </c>
      <c r="C9" s="12" t="s">
        <v>96</v>
      </c>
    </row>
    <row r="10">
      <c r="B10" s="12" t="s">
        <v>24</v>
      </c>
      <c r="C10" s="12" t="s">
        <v>97</v>
      </c>
    </row>
    <row r="11">
      <c r="B11" s="12" t="s">
        <v>98</v>
      </c>
      <c r="C11" s="12" t="s">
        <v>99</v>
      </c>
    </row>
    <row r="12">
      <c r="B12" s="12" t="s">
        <v>59</v>
      </c>
      <c r="C12" s="12" t="s">
        <v>100</v>
      </c>
    </row>
  </sheetData>
  <drawing r:id="rId1"/>
</worksheet>
</file>