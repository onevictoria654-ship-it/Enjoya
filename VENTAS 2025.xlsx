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Stock julio 2025" sheetId="2" r:id="rId6"/>
    <sheet state="visible" name="Copia de Stock julio 2025" sheetId="3" r:id="rId7"/>
    <sheet state="visible" name="Hoja 4" sheetId="4" r:id="rId8"/>
  </sheets>
  <definedNames>
    <definedName hidden="1" localSheetId="1" name="_xlnm._FilterDatabase">'Stock julio 2025'!$A$1:$Z$1</definedName>
    <definedName hidden="1" localSheetId="2" name="_xlnm._FilterDatabase">'Copia de Stock julio 2025'!$A$1:$Z$1</definedName>
  </definedNames>
  <calcPr/>
</workbook>
</file>

<file path=xl/sharedStrings.xml><?xml version="1.0" encoding="utf-8"?>
<sst xmlns="http://schemas.openxmlformats.org/spreadsheetml/2006/main" count="217" uniqueCount="132">
  <si>
    <t>VENTAS 2025</t>
  </si>
  <si>
    <t>Enero</t>
  </si>
  <si>
    <t>mayo</t>
  </si>
  <si>
    <t>Febrero</t>
  </si>
  <si>
    <t>junio</t>
  </si>
  <si>
    <t>Marzo</t>
  </si>
  <si>
    <t>julio</t>
  </si>
  <si>
    <t>Abril</t>
  </si>
  <si>
    <t>agost</t>
  </si>
  <si>
    <t>Mayo</t>
  </si>
  <si>
    <t>set</t>
  </si>
  <si>
    <t>Junio</t>
  </si>
  <si>
    <t>oct</t>
  </si>
  <si>
    <t>GASTOS 2025</t>
  </si>
  <si>
    <t>Dije</t>
  </si>
  <si>
    <t>Hilo</t>
  </si>
  <si>
    <t>Empaque</t>
  </si>
  <si>
    <t>Costo Unidad</t>
  </si>
  <si>
    <t>Soles Total Invent</t>
  </si>
  <si>
    <t>Precio por unidad</t>
  </si>
  <si>
    <t>Soles Total</t>
  </si>
  <si>
    <t>Huellitas</t>
  </si>
  <si>
    <t>Circulo schnauzer</t>
  </si>
  <si>
    <t>Salchicha chica</t>
  </si>
  <si>
    <t>Aretes Golden</t>
  </si>
  <si>
    <t>Cocker</t>
  </si>
  <si>
    <t>Golden</t>
  </si>
  <si>
    <t>Bulldog Frances</t>
  </si>
  <si>
    <t>Pekines</t>
  </si>
  <si>
    <t>Colibri</t>
  </si>
  <si>
    <t>Schnauzer</t>
  </si>
  <si>
    <t>Pastor Aleman</t>
  </si>
  <si>
    <t>Corgi</t>
  </si>
  <si>
    <t>Aretes x</t>
  </si>
  <si>
    <t>Beagle  aretes</t>
  </si>
  <si>
    <t>Poodle</t>
  </si>
  <si>
    <t>Arbol con huella</t>
  </si>
  <si>
    <t>aretes schnauzer</t>
  </si>
  <si>
    <t>dije huellitas</t>
  </si>
  <si>
    <t>dije capibara</t>
  </si>
  <si>
    <t>collar con huella y corazon</t>
  </si>
  <si>
    <t>pulsera huella</t>
  </si>
  <si>
    <t>dije huellas gruesa</t>
  </si>
  <si>
    <t>pulsera bulldog frances gruesa</t>
  </si>
  <si>
    <t>Pulsera gatito</t>
  </si>
  <si>
    <t>Pulsera con parecido a husky</t>
  </si>
  <si>
    <t>Pulsera Cuy</t>
  </si>
  <si>
    <t>Pulsera love my cat</t>
  </si>
  <si>
    <t>Dije dorado en huellita</t>
  </si>
  <si>
    <t>Dije dorado en circulo huellita</t>
  </si>
  <si>
    <t>Dije Mapa de Perú</t>
  </si>
  <si>
    <t>Aretes Huella</t>
  </si>
  <si>
    <t>Aretes mariposa chica bolita</t>
  </si>
  <si>
    <t>Aretes corazon chica</t>
  </si>
  <si>
    <t>Aretes huellita grande</t>
  </si>
  <si>
    <t>Aretes conejitos bolita</t>
  </si>
  <si>
    <t>Dijes niño</t>
  </si>
  <si>
    <t xml:space="preserve">Dijes circular A </t>
  </si>
  <si>
    <t>Dije Mariposa</t>
  </si>
  <si>
    <t>dije V</t>
  </si>
  <si>
    <t>Cadena Pancer</t>
  </si>
  <si>
    <t>Dije G</t>
  </si>
  <si>
    <t>Pulsera Bolitas</t>
  </si>
  <si>
    <t xml:space="preserve">Anillo bolitas </t>
  </si>
  <si>
    <t>Sol</t>
  </si>
  <si>
    <t xml:space="preserve">Bolitas </t>
  </si>
  <si>
    <t>Pulsera con flor y bolas</t>
  </si>
  <si>
    <t xml:space="preserve">Dije colibri </t>
  </si>
  <si>
    <t>Dije chihuahua para collar</t>
  </si>
  <si>
    <t>Dije san benito 1cm</t>
  </si>
  <si>
    <t>Pulsera gruesa con 2 corazones</t>
  </si>
  <si>
    <t xml:space="preserve">pulsera cruz </t>
  </si>
  <si>
    <t>gallito de las rocas</t>
  </si>
  <si>
    <t>cuy dorado</t>
  </si>
  <si>
    <t>dije grande con color de mariposa</t>
  </si>
  <si>
    <t>Dijes de 2 huellas de bebe</t>
  </si>
  <si>
    <t>pines dorados veterinaria</t>
  </si>
  <si>
    <t>dije dog mom chico</t>
  </si>
  <si>
    <t>pulsera erizo</t>
  </si>
  <si>
    <t>pulsera catmom</t>
  </si>
  <si>
    <t xml:space="preserve">collar para arena </t>
  </si>
  <si>
    <t>Dije ecuador</t>
  </si>
  <si>
    <t>Dije ecuador grande</t>
  </si>
  <si>
    <t>Corazon con gato</t>
  </si>
  <si>
    <t>Jack Russel</t>
  </si>
  <si>
    <t>CatMom corazon pulsera</t>
  </si>
  <si>
    <t>Virgen</t>
  </si>
  <si>
    <t>Dije delfines grande</t>
  </si>
  <si>
    <t xml:space="preserve">Pulsera con pez </t>
  </si>
  <si>
    <t>Pulsera señor de los Milagros</t>
  </si>
  <si>
    <t>dije erizo collar</t>
  </si>
  <si>
    <t xml:space="preserve">Cruz </t>
  </si>
  <si>
    <t>Poodle grande</t>
  </si>
  <si>
    <t xml:space="preserve">Dije de schnauzer en bolitas </t>
  </si>
  <si>
    <t>dijes flores</t>
  </si>
  <si>
    <t>Puño plata</t>
  </si>
  <si>
    <t>dije love acero</t>
  </si>
  <si>
    <t>Estrellas de perla</t>
  </si>
  <si>
    <t>Insumos</t>
  </si>
  <si>
    <t>Cantidad</t>
  </si>
  <si>
    <t>Costo total</t>
  </si>
  <si>
    <t>Dije dorado acero 1.8cm</t>
  </si>
  <si>
    <t>Dije plateado acero 2cm</t>
  </si>
  <si>
    <t>Dije dorado acero 2cm</t>
  </si>
  <si>
    <t>Dije dorado acero 1,3cm con hueco</t>
  </si>
  <si>
    <t>Dije dorado acero 1cm con hueco</t>
  </si>
  <si>
    <t>Dije plata 1.4cm con argolla chica</t>
  </si>
  <si>
    <t>Dije plata 1.1cm con argolla chica</t>
  </si>
  <si>
    <t>Dije plata 2cm con hueco 925</t>
  </si>
  <si>
    <t>Dije plata 2cm con orejas 925</t>
  </si>
  <si>
    <t xml:space="preserve">Dije plata 2cm con orejas </t>
  </si>
  <si>
    <t>dijes escarabajos 0,8 cm sin argolla dorado</t>
  </si>
  <si>
    <t>Dije plata 2cm con hueco para collar</t>
  </si>
  <si>
    <t>Bolas acero #3 por ciento</t>
  </si>
  <si>
    <t xml:space="preserve">Bolas de plata #3 </t>
  </si>
  <si>
    <t xml:space="preserve">Argollas 3mm </t>
  </si>
  <si>
    <t>Broche langosta</t>
  </si>
  <si>
    <t>Broche pico de loro</t>
  </si>
  <si>
    <t>dijes dorados en huellitas perro</t>
  </si>
  <si>
    <t>Cadena de 60cm 6mm de ancho</t>
  </si>
  <si>
    <t>Cadena 60cm tipo 1 de 2mm</t>
  </si>
  <si>
    <t>Cadena 60 cm tipo 2 de 2mm</t>
  </si>
  <si>
    <t>Cadena por metro</t>
  </si>
  <si>
    <t>Dije 2cm oval</t>
  </si>
  <si>
    <t>Pulseras de cadena delgada</t>
  </si>
  <si>
    <t>Dije plateado 2.5cm con triangulo</t>
  </si>
  <si>
    <t>Argolla #8</t>
  </si>
  <si>
    <t>CAdena bolitas 50cm</t>
  </si>
  <si>
    <t>cadena de prisma 45cm</t>
  </si>
  <si>
    <t>cruz transparente con negro</t>
  </si>
  <si>
    <t>Shakiras plata</t>
  </si>
  <si>
    <t>Cadena rolo gruesa 45cm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</si>
</sst>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>
        <v>1313.0</v>
      </c>
      <c r="D2" s="3" t="s">
        <v>2</v>
      </c>
      <c r="E2" s="4">
        <v>4543.0</v>
      </c>
    </row>
    <row r="3">
      <c r="A3" s="2" t="s">
        <v>3</v>
      </c>
      <c r="B3" s="2">
        <v>4482.7</v>
      </c>
      <c r="D3" s="3" t="s">
        <v>4</v>
      </c>
      <c r="E3" s="5">
        <v>3450.2</v>
      </c>
    </row>
    <row r="4">
      <c r="A4" s="2" t="s">
        <v>5</v>
      </c>
      <c r="B4" s="2">
        <v>5034.0</v>
      </c>
      <c r="D4" s="3" t="s">
        <v>6</v>
      </c>
      <c r="E4" s="4">
        <v>3170.0</v>
      </c>
    </row>
    <row r="5">
      <c r="A5" s="2" t="s">
        <v>7</v>
      </c>
      <c r="B5" s="2">
        <v>2699.0</v>
      </c>
      <c r="D5" s="3" t="s">
        <v>8</v>
      </c>
      <c r="E5" s="4">
        <v>301.0</v>
      </c>
    </row>
    <row r="6">
      <c r="A6" s="2" t="s">
        <v>9</v>
      </c>
      <c r="B6" s="2">
        <v>3450.2</v>
      </c>
      <c r="D6" s="3" t="s">
        <v>10</v>
      </c>
      <c r="E6" s="6"/>
    </row>
    <row r="7">
      <c r="A7" s="2" t="s">
        <v>11</v>
      </c>
      <c r="D7" s="3" t="s">
        <v>12</v>
      </c>
      <c r="E7" s="4">
        <v>3483.0</v>
      </c>
    </row>
    <row r="9">
      <c r="B9" s="7">
        <f>SUM(B2:B7)</f>
        <v>16978.9</v>
      </c>
      <c r="E9" s="7">
        <f>SUM(E2:E7)</f>
        <v>14947.2</v>
      </c>
    </row>
    <row r="14">
      <c r="A14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J1" s="2" t="s">
        <v>19</v>
      </c>
      <c r="K1" s="2" t="s">
        <v>20</v>
      </c>
    </row>
    <row r="2">
      <c r="B2" s="2" t="s">
        <v>21</v>
      </c>
      <c r="C2" s="2">
        <v>1.0</v>
      </c>
      <c r="D2" s="2">
        <v>15.0</v>
      </c>
      <c r="E2" s="2">
        <v>5.0</v>
      </c>
      <c r="F2" s="2">
        <v>1.0</v>
      </c>
      <c r="G2" s="7">
        <f t="shared" ref="G2:G32" si="1">D2+E2+F2</f>
        <v>21</v>
      </c>
      <c r="H2" s="7">
        <f t="shared" ref="H2:H31" si="2">C2*G2</f>
        <v>21</v>
      </c>
      <c r="J2" s="7">
        <f t="shared" ref="J2:J31" si="3">35</f>
        <v>35</v>
      </c>
      <c r="K2" s="7">
        <f t="shared" ref="K2:K31" si="4">J2*C2</f>
        <v>35</v>
      </c>
    </row>
    <row r="3">
      <c r="B3" s="2" t="s">
        <v>22</v>
      </c>
      <c r="C3" s="2">
        <v>6.0</v>
      </c>
      <c r="D3" s="2">
        <v>25.0</v>
      </c>
      <c r="E3" s="2">
        <v>2.0</v>
      </c>
      <c r="F3" s="2">
        <v>1.0</v>
      </c>
      <c r="G3" s="7">
        <f t="shared" si="1"/>
        <v>28</v>
      </c>
      <c r="H3" s="7">
        <f t="shared" si="2"/>
        <v>168</v>
      </c>
      <c r="J3" s="7">
        <f t="shared" si="3"/>
        <v>35</v>
      </c>
      <c r="K3" s="7">
        <f t="shared" si="4"/>
        <v>210</v>
      </c>
    </row>
    <row r="4">
      <c r="B4" s="2" t="s">
        <v>23</v>
      </c>
      <c r="C4" s="2">
        <v>1.0</v>
      </c>
      <c r="D4" s="2">
        <v>15.0</v>
      </c>
      <c r="E4" s="2">
        <v>2.0</v>
      </c>
      <c r="F4" s="2">
        <v>1.0</v>
      </c>
      <c r="G4" s="7">
        <f t="shared" si="1"/>
        <v>18</v>
      </c>
      <c r="H4" s="7">
        <f t="shared" si="2"/>
        <v>18</v>
      </c>
      <c r="J4" s="7">
        <f t="shared" si="3"/>
        <v>35</v>
      </c>
      <c r="K4" s="7">
        <f t="shared" si="4"/>
        <v>35</v>
      </c>
    </row>
    <row r="5">
      <c r="B5" s="2" t="s">
        <v>24</v>
      </c>
      <c r="C5" s="2">
        <v>2.0</v>
      </c>
      <c r="D5" s="2">
        <v>15.0</v>
      </c>
      <c r="E5" s="2">
        <v>2.0</v>
      </c>
      <c r="F5" s="2">
        <v>1.0</v>
      </c>
      <c r="G5" s="7">
        <f t="shared" si="1"/>
        <v>18</v>
      </c>
      <c r="H5" s="7">
        <f t="shared" si="2"/>
        <v>36</v>
      </c>
      <c r="J5" s="7">
        <f t="shared" si="3"/>
        <v>35</v>
      </c>
      <c r="K5" s="7">
        <f t="shared" si="4"/>
        <v>70</v>
      </c>
    </row>
    <row r="6">
      <c r="B6" s="2" t="s">
        <v>25</v>
      </c>
      <c r="C6" s="2">
        <v>7.0</v>
      </c>
      <c r="D6" s="2">
        <v>15.0</v>
      </c>
      <c r="E6" s="2">
        <v>2.0</v>
      </c>
      <c r="F6" s="2">
        <v>1.0</v>
      </c>
      <c r="G6" s="7">
        <f t="shared" si="1"/>
        <v>18</v>
      </c>
      <c r="H6" s="7">
        <f t="shared" si="2"/>
        <v>126</v>
      </c>
      <c r="J6" s="7">
        <f t="shared" si="3"/>
        <v>35</v>
      </c>
      <c r="K6" s="7">
        <f t="shared" si="4"/>
        <v>245</v>
      </c>
    </row>
    <row r="7">
      <c r="B7" s="2" t="s">
        <v>26</v>
      </c>
      <c r="C7" s="2">
        <v>1.0</v>
      </c>
      <c r="D7" s="2">
        <v>15.0</v>
      </c>
      <c r="E7" s="2">
        <v>2.0</v>
      </c>
      <c r="F7" s="2">
        <v>1.0</v>
      </c>
      <c r="G7" s="7">
        <f t="shared" si="1"/>
        <v>18</v>
      </c>
      <c r="H7" s="7">
        <f t="shared" si="2"/>
        <v>18</v>
      </c>
      <c r="J7" s="7">
        <f t="shared" si="3"/>
        <v>35</v>
      </c>
      <c r="K7" s="7">
        <f t="shared" si="4"/>
        <v>35</v>
      </c>
    </row>
    <row r="8">
      <c r="B8" s="2" t="s">
        <v>27</v>
      </c>
      <c r="C8" s="2">
        <v>2.0</v>
      </c>
      <c r="D8" s="2">
        <v>15.0</v>
      </c>
      <c r="E8" s="2">
        <v>2.0</v>
      </c>
      <c r="F8" s="2">
        <v>1.0</v>
      </c>
      <c r="G8" s="7">
        <f t="shared" si="1"/>
        <v>18</v>
      </c>
      <c r="H8" s="7">
        <f t="shared" si="2"/>
        <v>36</v>
      </c>
      <c r="J8" s="7">
        <f t="shared" si="3"/>
        <v>35</v>
      </c>
      <c r="K8" s="7">
        <f t="shared" si="4"/>
        <v>70</v>
      </c>
    </row>
    <row r="9">
      <c r="B9" s="2" t="s">
        <v>28</v>
      </c>
      <c r="C9" s="2">
        <v>2.0</v>
      </c>
      <c r="D9" s="2">
        <v>15.0</v>
      </c>
      <c r="E9" s="2">
        <v>2.0</v>
      </c>
      <c r="F9" s="2">
        <v>1.0</v>
      </c>
      <c r="G9" s="7">
        <f t="shared" si="1"/>
        <v>18</v>
      </c>
      <c r="H9" s="7">
        <f t="shared" si="2"/>
        <v>36</v>
      </c>
      <c r="J9" s="7">
        <f t="shared" si="3"/>
        <v>35</v>
      </c>
      <c r="K9" s="7">
        <f t="shared" si="4"/>
        <v>70</v>
      </c>
    </row>
    <row r="10">
      <c r="B10" s="2" t="s">
        <v>29</v>
      </c>
      <c r="C10" s="2">
        <v>2.0</v>
      </c>
      <c r="D10" s="2">
        <v>15.0</v>
      </c>
      <c r="E10" s="2">
        <v>2.0</v>
      </c>
      <c r="F10" s="2">
        <v>1.0</v>
      </c>
      <c r="G10" s="7">
        <f t="shared" si="1"/>
        <v>18</v>
      </c>
      <c r="H10" s="7">
        <f t="shared" si="2"/>
        <v>36</v>
      </c>
      <c r="J10" s="7">
        <f t="shared" si="3"/>
        <v>35</v>
      </c>
      <c r="K10" s="7">
        <f t="shared" si="4"/>
        <v>70</v>
      </c>
    </row>
    <row r="11">
      <c r="B11" s="2" t="s">
        <v>30</v>
      </c>
      <c r="C11" s="2">
        <v>4.0</v>
      </c>
      <c r="D11" s="2">
        <v>15.0</v>
      </c>
      <c r="E11" s="2">
        <v>2.0</v>
      </c>
      <c r="F11" s="2">
        <v>1.0</v>
      </c>
      <c r="G11" s="7">
        <f t="shared" si="1"/>
        <v>18</v>
      </c>
      <c r="H11" s="7">
        <f t="shared" si="2"/>
        <v>72</v>
      </c>
      <c r="J11" s="7">
        <f t="shared" si="3"/>
        <v>35</v>
      </c>
      <c r="K11" s="7">
        <f t="shared" si="4"/>
        <v>140</v>
      </c>
    </row>
    <row r="12">
      <c r="B12" s="2" t="s">
        <v>31</v>
      </c>
      <c r="C12" s="2">
        <v>1.0</v>
      </c>
      <c r="D12" s="2">
        <v>15.0</v>
      </c>
      <c r="E12" s="2">
        <v>2.0</v>
      </c>
      <c r="F12" s="2">
        <v>1.0</v>
      </c>
      <c r="G12" s="7">
        <f t="shared" si="1"/>
        <v>18</v>
      </c>
      <c r="H12" s="7">
        <f t="shared" si="2"/>
        <v>18</v>
      </c>
      <c r="J12" s="7">
        <f t="shared" si="3"/>
        <v>35</v>
      </c>
      <c r="K12" s="7">
        <f t="shared" si="4"/>
        <v>35</v>
      </c>
    </row>
    <row r="13">
      <c r="B13" s="2" t="s">
        <v>32</v>
      </c>
      <c r="C13" s="2">
        <v>2.0</v>
      </c>
      <c r="D13" s="2">
        <v>15.0</v>
      </c>
      <c r="E13" s="2">
        <v>2.0</v>
      </c>
      <c r="F13" s="2">
        <v>1.0</v>
      </c>
      <c r="G13" s="7">
        <f t="shared" si="1"/>
        <v>18</v>
      </c>
      <c r="H13" s="7">
        <f t="shared" si="2"/>
        <v>36</v>
      </c>
      <c r="J13" s="7">
        <f t="shared" si="3"/>
        <v>35</v>
      </c>
      <c r="K13" s="7">
        <f t="shared" si="4"/>
        <v>70</v>
      </c>
    </row>
    <row r="14">
      <c r="B14" s="2" t="s">
        <v>33</v>
      </c>
      <c r="C14" s="2">
        <v>1.0</v>
      </c>
      <c r="D14" s="2">
        <v>15.0</v>
      </c>
      <c r="E14" s="2">
        <v>2.0</v>
      </c>
      <c r="F14" s="2">
        <v>1.0</v>
      </c>
      <c r="G14" s="7">
        <f t="shared" si="1"/>
        <v>18</v>
      </c>
      <c r="H14" s="7">
        <f t="shared" si="2"/>
        <v>18</v>
      </c>
      <c r="J14" s="7">
        <f t="shared" si="3"/>
        <v>35</v>
      </c>
      <c r="K14" s="7">
        <f t="shared" si="4"/>
        <v>35</v>
      </c>
    </row>
    <row r="15">
      <c r="B15" s="2" t="s">
        <v>34</v>
      </c>
      <c r="C15" s="2">
        <v>1.0</v>
      </c>
      <c r="D15" s="2">
        <v>15.0</v>
      </c>
      <c r="E15" s="2">
        <v>2.0</v>
      </c>
      <c r="F15" s="2">
        <v>1.0</v>
      </c>
      <c r="G15" s="7">
        <f t="shared" si="1"/>
        <v>18</v>
      </c>
      <c r="H15" s="7">
        <f t="shared" si="2"/>
        <v>18</v>
      </c>
      <c r="J15" s="7">
        <f t="shared" si="3"/>
        <v>35</v>
      </c>
      <c r="K15" s="7">
        <f t="shared" si="4"/>
        <v>35</v>
      </c>
    </row>
    <row r="16">
      <c r="B16" s="2" t="s">
        <v>35</v>
      </c>
      <c r="C16" s="2">
        <v>2.0</v>
      </c>
      <c r="D16" s="2">
        <v>15.0</v>
      </c>
      <c r="E16" s="2">
        <v>2.0</v>
      </c>
      <c r="F16" s="2">
        <v>1.0</v>
      </c>
      <c r="G16" s="7">
        <f t="shared" si="1"/>
        <v>18</v>
      </c>
      <c r="H16" s="7">
        <f t="shared" si="2"/>
        <v>36</v>
      </c>
      <c r="J16" s="7">
        <f t="shared" si="3"/>
        <v>35</v>
      </c>
      <c r="K16" s="7">
        <f t="shared" si="4"/>
        <v>70</v>
      </c>
    </row>
    <row r="17">
      <c r="B17" s="2" t="s">
        <v>36</v>
      </c>
      <c r="C17" s="2">
        <v>2.0</v>
      </c>
      <c r="D17" s="2">
        <v>15.0</v>
      </c>
      <c r="E17" s="2">
        <v>2.0</v>
      </c>
      <c r="F17" s="2">
        <v>1.0</v>
      </c>
      <c r="G17" s="7">
        <f t="shared" si="1"/>
        <v>18</v>
      </c>
      <c r="H17" s="7">
        <f t="shared" si="2"/>
        <v>36</v>
      </c>
      <c r="J17" s="7">
        <f t="shared" si="3"/>
        <v>35</v>
      </c>
      <c r="K17" s="7">
        <f t="shared" si="4"/>
        <v>70</v>
      </c>
    </row>
    <row r="18">
      <c r="B18" s="2" t="s">
        <v>37</v>
      </c>
      <c r="C18" s="2">
        <v>3.0</v>
      </c>
      <c r="D18" s="2">
        <v>15.0</v>
      </c>
      <c r="E18" s="2">
        <v>2.0</v>
      </c>
      <c r="F18" s="2">
        <v>1.0</v>
      </c>
      <c r="G18" s="7">
        <f t="shared" si="1"/>
        <v>18</v>
      </c>
      <c r="H18" s="7">
        <f t="shared" si="2"/>
        <v>54</v>
      </c>
      <c r="J18" s="7">
        <f t="shared" si="3"/>
        <v>35</v>
      </c>
      <c r="K18" s="7">
        <f t="shared" si="4"/>
        <v>105</v>
      </c>
    </row>
    <row r="19">
      <c r="B19" s="2" t="s">
        <v>38</v>
      </c>
      <c r="C19" s="2">
        <v>5.0</v>
      </c>
      <c r="D19" s="2">
        <v>15.0</v>
      </c>
      <c r="E19" s="2">
        <v>2.0</v>
      </c>
      <c r="F19" s="2">
        <v>1.0</v>
      </c>
      <c r="G19" s="7">
        <f t="shared" si="1"/>
        <v>18</v>
      </c>
      <c r="H19" s="7">
        <f t="shared" si="2"/>
        <v>90</v>
      </c>
      <c r="J19" s="7">
        <f t="shared" si="3"/>
        <v>35</v>
      </c>
      <c r="K19" s="7">
        <f t="shared" si="4"/>
        <v>175</v>
      </c>
    </row>
    <row r="20">
      <c r="B20" s="2" t="s">
        <v>39</v>
      </c>
      <c r="C20" s="2">
        <v>2.0</v>
      </c>
      <c r="D20" s="2">
        <v>15.0</v>
      </c>
      <c r="E20" s="2">
        <v>2.0</v>
      </c>
      <c r="F20" s="2">
        <v>1.0</v>
      </c>
      <c r="G20" s="7">
        <f t="shared" si="1"/>
        <v>18</v>
      </c>
      <c r="H20" s="7">
        <f t="shared" si="2"/>
        <v>36</v>
      </c>
      <c r="J20" s="7">
        <f t="shared" si="3"/>
        <v>35</v>
      </c>
      <c r="K20" s="7">
        <f t="shared" si="4"/>
        <v>70</v>
      </c>
    </row>
    <row r="21">
      <c r="B21" s="2" t="s">
        <v>40</v>
      </c>
      <c r="C21" s="2">
        <v>2.0</v>
      </c>
      <c r="D21" s="2">
        <v>15.0</v>
      </c>
      <c r="E21" s="2">
        <v>2.0</v>
      </c>
      <c r="F21" s="2">
        <v>1.0</v>
      </c>
      <c r="G21" s="7">
        <f t="shared" si="1"/>
        <v>18</v>
      </c>
      <c r="H21" s="7">
        <f t="shared" si="2"/>
        <v>36</v>
      </c>
      <c r="J21" s="7">
        <f t="shared" si="3"/>
        <v>35</v>
      </c>
      <c r="K21" s="7">
        <f t="shared" si="4"/>
        <v>70</v>
      </c>
    </row>
    <row r="22">
      <c r="B22" s="2" t="s">
        <v>41</v>
      </c>
      <c r="C22" s="2">
        <v>1.0</v>
      </c>
      <c r="D22" s="2">
        <v>15.0</v>
      </c>
      <c r="E22" s="2">
        <v>2.0</v>
      </c>
      <c r="F22" s="2">
        <v>1.0</v>
      </c>
      <c r="G22" s="7">
        <f t="shared" si="1"/>
        <v>18</v>
      </c>
      <c r="H22" s="7">
        <f t="shared" si="2"/>
        <v>18</v>
      </c>
      <c r="J22" s="7">
        <f t="shared" si="3"/>
        <v>35</v>
      </c>
      <c r="K22" s="7">
        <f t="shared" si="4"/>
        <v>35</v>
      </c>
    </row>
    <row r="23">
      <c r="B23" s="2" t="s">
        <v>42</v>
      </c>
      <c r="C23" s="2">
        <v>1.0</v>
      </c>
      <c r="D23" s="2">
        <v>15.0</v>
      </c>
      <c r="E23" s="2">
        <v>2.0</v>
      </c>
      <c r="F23" s="2">
        <v>1.0</v>
      </c>
      <c r="G23" s="7">
        <f t="shared" si="1"/>
        <v>18</v>
      </c>
      <c r="H23" s="7">
        <f t="shared" si="2"/>
        <v>18</v>
      </c>
      <c r="J23" s="7">
        <f t="shared" si="3"/>
        <v>35</v>
      </c>
      <c r="K23" s="7">
        <f t="shared" si="4"/>
        <v>35</v>
      </c>
    </row>
    <row r="24">
      <c r="B24" s="2" t="s">
        <v>43</v>
      </c>
      <c r="C24" s="2">
        <v>2.0</v>
      </c>
      <c r="D24" s="2">
        <v>15.0</v>
      </c>
      <c r="E24" s="2">
        <v>2.0</v>
      </c>
      <c r="F24" s="2">
        <v>1.0</v>
      </c>
      <c r="G24" s="7">
        <f t="shared" si="1"/>
        <v>18</v>
      </c>
      <c r="H24" s="7">
        <f t="shared" si="2"/>
        <v>36</v>
      </c>
      <c r="J24" s="7">
        <f t="shared" si="3"/>
        <v>35</v>
      </c>
      <c r="K24" s="7">
        <f t="shared" si="4"/>
        <v>70</v>
      </c>
    </row>
    <row r="25">
      <c r="B25" s="2" t="s">
        <v>44</v>
      </c>
      <c r="C25" s="2">
        <v>1.0</v>
      </c>
      <c r="D25" s="2">
        <v>15.0</v>
      </c>
      <c r="E25" s="2">
        <v>2.0</v>
      </c>
      <c r="F25" s="2">
        <v>1.0</v>
      </c>
      <c r="G25" s="7">
        <f t="shared" si="1"/>
        <v>18</v>
      </c>
      <c r="H25" s="7">
        <f t="shared" si="2"/>
        <v>18</v>
      </c>
      <c r="J25" s="7">
        <f t="shared" si="3"/>
        <v>35</v>
      </c>
      <c r="K25" s="7">
        <f t="shared" si="4"/>
        <v>35</v>
      </c>
    </row>
    <row r="26">
      <c r="B26" s="2" t="s">
        <v>45</v>
      </c>
      <c r="C26" s="2">
        <v>1.0</v>
      </c>
      <c r="D26" s="2">
        <v>15.0</v>
      </c>
      <c r="E26" s="2">
        <v>2.0</v>
      </c>
      <c r="F26" s="2">
        <v>1.0</v>
      </c>
      <c r="G26" s="7">
        <f t="shared" si="1"/>
        <v>18</v>
      </c>
      <c r="H26" s="7">
        <f t="shared" si="2"/>
        <v>18</v>
      </c>
      <c r="J26" s="7">
        <f t="shared" si="3"/>
        <v>35</v>
      </c>
      <c r="K26" s="7">
        <f t="shared" si="4"/>
        <v>35</v>
      </c>
    </row>
    <row r="27">
      <c r="B27" s="2" t="s">
        <v>46</v>
      </c>
      <c r="C27" s="2">
        <v>8.0</v>
      </c>
      <c r="D27" s="2">
        <v>15.0</v>
      </c>
      <c r="E27" s="2">
        <v>2.0</v>
      </c>
      <c r="F27" s="2">
        <v>1.0</v>
      </c>
      <c r="G27" s="7">
        <f t="shared" si="1"/>
        <v>18</v>
      </c>
      <c r="H27" s="7">
        <f t="shared" si="2"/>
        <v>144</v>
      </c>
      <c r="J27" s="7">
        <f t="shared" si="3"/>
        <v>35</v>
      </c>
      <c r="K27" s="7">
        <f t="shared" si="4"/>
        <v>280</v>
      </c>
    </row>
    <row r="28">
      <c r="B28" s="2" t="s">
        <v>47</v>
      </c>
      <c r="C28" s="2">
        <v>5.0</v>
      </c>
      <c r="D28" s="2">
        <v>15.0</v>
      </c>
      <c r="E28" s="2">
        <v>2.0</v>
      </c>
      <c r="F28" s="2">
        <v>1.0</v>
      </c>
      <c r="G28" s="7">
        <f t="shared" si="1"/>
        <v>18</v>
      </c>
      <c r="H28" s="7">
        <f t="shared" si="2"/>
        <v>90</v>
      </c>
      <c r="J28" s="7">
        <f t="shared" si="3"/>
        <v>35</v>
      </c>
      <c r="K28" s="7">
        <f t="shared" si="4"/>
        <v>175</v>
      </c>
    </row>
    <row r="29">
      <c r="B29" s="2" t="s">
        <v>48</v>
      </c>
      <c r="C29" s="2">
        <v>1.0</v>
      </c>
      <c r="D29" s="2">
        <v>15.0</v>
      </c>
      <c r="E29" s="2">
        <v>2.0</v>
      </c>
      <c r="F29" s="2">
        <v>1.0</v>
      </c>
      <c r="G29" s="7">
        <f t="shared" si="1"/>
        <v>18</v>
      </c>
      <c r="H29" s="7">
        <f t="shared" si="2"/>
        <v>18</v>
      </c>
      <c r="J29" s="7">
        <f t="shared" si="3"/>
        <v>35</v>
      </c>
      <c r="K29" s="7">
        <f t="shared" si="4"/>
        <v>35</v>
      </c>
    </row>
    <row r="30">
      <c r="B30" s="2" t="s">
        <v>49</v>
      </c>
      <c r="C30" s="2">
        <v>2.0</v>
      </c>
      <c r="D30" s="2">
        <v>15.0</v>
      </c>
      <c r="E30" s="2">
        <v>2.0</v>
      </c>
      <c r="F30" s="2">
        <v>1.0</v>
      </c>
      <c r="G30" s="7">
        <f t="shared" si="1"/>
        <v>18</v>
      </c>
      <c r="H30" s="7">
        <f t="shared" si="2"/>
        <v>36</v>
      </c>
      <c r="J30" s="7">
        <f t="shared" si="3"/>
        <v>35</v>
      </c>
      <c r="K30" s="7">
        <f t="shared" si="4"/>
        <v>70</v>
      </c>
    </row>
    <row r="31">
      <c r="B31" s="2" t="s">
        <v>50</v>
      </c>
      <c r="C31" s="2">
        <v>6.0</v>
      </c>
      <c r="D31" s="2">
        <v>15.0</v>
      </c>
      <c r="E31" s="2">
        <v>2.0</v>
      </c>
      <c r="F31" s="2">
        <v>1.0</v>
      </c>
      <c r="G31" s="7">
        <f t="shared" si="1"/>
        <v>18</v>
      </c>
      <c r="H31" s="7">
        <f t="shared" si="2"/>
        <v>108</v>
      </c>
      <c r="J31" s="7">
        <f t="shared" si="3"/>
        <v>35</v>
      </c>
      <c r="K31" s="7">
        <f t="shared" si="4"/>
        <v>210</v>
      </c>
    </row>
    <row r="32">
      <c r="B32" s="2" t="s">
        <v>51</v>
      </c>
      <c r="C32" s="2">
        <v>2.0</v>
      </c>
      <c r="G32" s="7">
        <f t="shared" si="1"/>
        <v>0</v>
      </c>
      <c r="H32" s="7">
        <f>SUM(H2:H31)</f>
        <v>1449</v>
      </c>
      <c r="K32" s="7">
        <f>SUM(K2:K31)</f>
        <v>2695</v>
      </c>
    </row>
    <row r="33">
      <c r="B33" s="2" t="s">
        <v>52</v>
      </c>
      <c r="C33" s="2">
        <v>1.0</v>
      </c>
    </row>
    <row r="34">
      <c r="B34" s="2" t="s">
        <v>53</v>
      </c>
      <c r="C34" s="2">
        <v>1.0</v>
      </c>
    </row>
    <row r="35">
      <c r="B35" s="2" t="s">
        <v>54</v>
      </c>
      <c r="C35" s="2">
        <v>1.0</v>
      </c>
    </row>
    <row r="36">
      <c r="B36" s="2" t="s">
        <v>55</v>
      </c>
      <c r="C36" s="2">
        <v>2.0</v>
      </c>
    </row>
    <row r="37">
      <c r="B37" s="2" t="s">
        <v>56</v>
      </c>
      <c r="C37" s="2">
        <v>3.0</v>
      </c>
    </row>
    <row r="38">
      <c r="B38" s="2" t="s">
        <v>57</v>
      </c>
      <c r="C38" s="2">
        <v>1.0</v>
      </c>
    </row>
    <row r="39">
      <c r="B39" s="2" t="s">
        <v>58</v>
      </c>
      <c r="C39" s="2">
        <v>1.0</v>
      </c>
    </row>
    <row r="40">
      <c r="B40" s="2" t="s">
        <v>59</v>
      </c>
      <c r="C40" s="2">
        <v>1.0</v>
      </c>
    </row>
    <row r="41">
      <c r="B41" s="2" t="s">
        <v>60</v>
      </c>
      <c r="C41" s="2">
        <v>1.0</v>
      </c>
    </row>
    <row r="42">
      <c r="B42" s="2" t="s">
        <v>61</v>
      </c>
      <c r="C42" s="2">
        <v>1.0</v>
      </c>
    </row>
    <row r="43">
      <c r="B43" s="2" t="s">
        <v>62</v>
      </c>
      <c r="C43" s="2">
        <v>1.0</v>
      </c>
    </row>
    <row r="44">
      <c r="B44" s="2" t="s">
        <v>63</v>
      </c>
      <c r="C44" s="2">
        <v>1.0</v>
      </c>
    </row>
    <row r="45">
      <c r="B45" s="2" t="s">
        <v>64</v>
      </c>
      <c r="C45" s="2">
        <v>3.0</v>
      </c>
    </row>
    <row r="46">
      <c r="B46" s="2" t="s">
        <v>65</v>
      </c>
      <c r="C46" s="2">
        <v>2.0</v>
      </c>
    </row>
    <row r="47">
      <c r="B47" s="2" t="s">
        <v>66</v>
      </c>
      <c r="C47" s="2">
        <v>1.0</v>
      </c>
    </row>
    <row r="48">
      <c r="B48" s="2" t="s">
        <v>67</v>
      </c>
      <c r="C48" s="2">
        <v>1.0</v>
      </c>
    </row>
    <row r="49">
      <c r="B49" s="2" t="s">
        <v>68</v>
      </c>
      <c r="C49" s="2">
        <v>1.0</v>
      </c>
    </row>
    <row r="50">
      <c r="B50" s="2" t="s">
        <v>69</v>
      </c>
      <c r="C50" s="2">
        <v>2.0</v>
      </c>
    </row>
    <row r="51">
      <c r="B51" s="2" t="s">
        <v>70</v>
      </c>
      <c r="C51" s="2">
        <v>1.0</v>
      </c>
    </row>
    <row r="52">
      <c r="B52" s="2" t="s">
        <v>71</v>
      </c>
      <c r="C52" s="2">
        <v>1.0</v>
      </c>
    </row>
    <row r="53">
      <c r="B53" s="2" t="s">
        <v>72</v>
      </c>
      <c r="C53" s="2">
        <v>3.0</v>
      </c>
    </row>
    <row r="54">
      <c r="B54" s="2" t="s">
        <v>73</v>
      </c>
      <c r="C54" s="2">
        <v>1.0</v>
      </c>
    </row>
    <row r="55">
      <c r="B55" s="2" t="s">
        <v>74</v>
      </c>
      <c r="C55" s="2">
        <v>1.0</v>
      </c>
    </row>
    <row r="56">
      <c r="B56" s="2" t="s">
        <v>75</v>
      </c>
      <c r="C56" s="2">
        <v>4.0</v>
      </c>
    </row>
    <row r="57">
      <c r="B57" s="2" t="s">
        <v>76</v>
      </c>
      <c r="C57" s="2">
        <v>2.0</v>
      </c>
    </row>
    <row r="58">
      <c r="B58" s="2" t="s">
        <v>77</v>
      </c>
      <c r="C58" s="2">
        <v>1.0</v>
      </c>
    </row>
    <row r="59">
      <c r="B59" s="2" t="s">
        <v>78</v>
      </c>
      <c r="C59" s="2">
        <v>1.0</v>
      </c>
    </row>
    <row r="60">
      <c r="B60" s="2" t="s">
        <v>79</v>
      </c>
      <c r="C60" s="2">
        <v>5.0</v>
      </c>
    </row>
    <row r="61">
      <c r="B61" s="2" t="s">
        <v>80</v>
      </c>
      <c r="C61" s="2">
        <v>1.0</v>
      </c>
    </row>
    <row r="62">
      <c r="B62" s="2" t="s">
        <v>81</v>
      </c>
      <c r="C62" s="2">
        <v>1.0</v>
      </c>
    </row>
    <row r="63">
      <c r="B63" s="2" t="s">
        <v>82</v>
      </c>
      <c r="C63" s="2">
        <v>2.0</v>
      </c>
    </row>
    <row r="64">
      <c r="B64" s="2" t="s">
        <v>83</v>
      </c>
      <c r="C64" s="2">
        <v>1.0</v>
      </c>
    </row>
    <row r="65">
      <c r="B65" s="2" t="s">
        <v>84</v>
      </c>
      <c r="C65" s="2">
        <v>1.0</v>
      </c>
    </row>
    <row r="66">
      <c r="B66" s="2" t="s">
        <v>85</v>
      </c>
      <c r="C66" s="2">
        <v>2.0</v>
      </c>
    </row>
    <row r="67">
      <c r="B67" s="2" t="s">
        <v>86</v>
      </c>
      <c r="C67" s="2">
        <v>1.0</v>
      </c>
    </row>
    <row r="68">
      <c r="B68" s="2" t="s">
        <v>87</v>
      </c>
      <c r="C68" s="2">
        <v>1.0</v>
      </c>
    </row>
    <row r="69">
      <c r="B69" s="2" t="s">
        <v>88</v>
      </c>
      <c r="C69" s="2">
        <v>1.0</v>
      </c>
    </row>
    <row r="70">
      <c r="B70" s="2" t="s">
        <v>89</v>
      </c>
      <c r="C70" s="2">
        <v>2.0</v>
      </c>
    </row>
    <row r="71">
      <c r="B71" s="2" t="s">
        <v>90</v>
      </c>
      <c r="C71" s="2">
        <v>1.0</v>
      </c>
    </row>
    <row r="72">
      <c r="B72" s="2" t="s">
        <v>91</v>
      </c>
      <c r="C72" s="2">
        <v>2.0</v>
      </c>
    </row>
    <row r="73">
      <c r="B73" s="2" t="s">
        <v>92</v>
      </c>
      <c r="C73" s="2">
        <v>1.0</v>
      </c>
    </row>
    <row r="74">
      <c r="B74" s="2" t="s">
        <v>93</v>
      </c>
      <c r="C74" s="2">
        <v>1.0</v>
      </c>
    </row>
    <row r="75">
      <c r="B75" s="2" t="s">
        <v>94</v>
      </c>
      <c r="C75" s="2">
        <v>5.0</v>
      </c>
    </row>
    <row r="76">
      <c r="B76" s="2" t="s">
        <v>95</v>
      </c>
      <c r="C76" s="2">
        <v>1.0</v>
      </c>
    </row>
    <row r="77">
      <c r="B77" s="2" t="s">
        <v>96</v>
      </c>
      <c r="C77" s="2">
        <v>1.0</v>
      </c>
    </row>
    <row r="78">
      <c r="B78" s="2" t="s">
        <v>97</v>
      </c>
      <c r="C78" s="2">
        <v>4.0</v>
      </c>
    </row>
    <row r="79">
      <c r="C79" s="7">
        <f>SUM(C33:C78)</f>
        <v>74</v>
      </c>
    </row>
  </sheetData>
  <autoFilter ref="$A$1:$Z$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J1" s="2" t="s">
        <v>19</v>
      </c>
      <c r="K1" s="2" t="s">
        <v>20</v>
      </c>
    </row>
    <row r="2">
      <c r="B2" s="2" t="s">
        <v>21</v>
      </c>
      <c r="C2" s="2">
        <v>1.0</v>
      </c>
      <c r="D2" s="2">
        <v>15.0</v>
      </c>
      <c r="E2" s="2">
        <v>5.0</v>
      </c>
      <c r="F2" s="2">
        <v>1.0</v>
      </c>
      <c r="G2" s="7">
        <f t="shared" ref="G2:G32" si="1">D2+E2+F2</f>
        <v>21</v>
      </c>
      <c r="H2" s="7">
        <f t="shared" ref="H2:H31" si="2">C2*G2</f>
        <v>21</v>
      </c>
      <c r="J2" s="7">
        <f t="shared" ref="J2:J31" si="3">35</f>
        <v>35</v>
      </c>
      <c r="K2" s="7">
        <f t="shared" ref="K2:K31" si="4">J2*C2</f>
        <v>35</v>
      </c>
    </row>
    <row r="3">
      <c r="B3" s="2" t="s">
        <v>22</v>
      </c>
      <c r="C3" s="2">
        <v>6.0</v>
      </c>
      <c r="D3" s="2">
        <v>25.0</v>
      </c>
      <c r="E3" s="2">
        <v>2.0</v>
      </c>
      <c r="F3" s="2">
        <v>1.0</v>
      </c>
      <c r="G3" s="7">
        <f t="shared" si="1"/>
        <v>28</v>
      </c>
      <c r="H3" s="7">
        <f t="shared" si="2"/>
        <v>168</v>
      </c>
      <c r="J3" s="7">
        <f t="shared" si="3"/>
        <v>35</v>
      </c>
      <c r="K3" s="7">
        <f t="shared" si="4"/>
        <v>210</v>
      </c>
    </row>
    <row r="4">
      <c r="B4" s="2" t="s">
        <v>23</v>
      </c>
      <c r="C4" s="2">
        <v>1.0</v>
      </c>
      <c r="D4" s="2">
        <v>15.0</v>
      </c>
      <c r="E4" s="2">
        <v>2.0</v>
      </c>
      <c r="F4" s="2">
        <v>1.0</v>
      </c>
      <c r="G4" s="7">
        <f t="shared" si="1"/>
        <v>18</v>
      </c>
      <c r="H4" s="7">
        <f t="shared" si="2"/>
        <v>18</v>
      </c>
      <c r="J4" s="7">
        <f t="shared" si="3"/>
        <v>35</v>
      </c>
      <c r="K4" s="7">
        <f t="shared" si="4"/>
        <v>35</v>
      </c>
    </row>
    <row r="5">
      <c r="B5" s="2" t="s">
        <v>24</v>
      </c>
      <c r="C5" s="2">
        <v>2.0</v>
      </c>
      <c r="D5" s="2">
        <v>15.0</v>
      </c>
      <c r="E5" s="2">
        <v>2.0</v>
      </c>
      <c r="F5" s="2">
        <v>1.0</v>
      </c>
      <c r="G5" s="7">
        <f t="shared" si="1"/>
        <v>18</v>
      </c>
      <c r="H5" s="7">
        <f t="shared" si="2"/>
        <v>36</v>
      </c>
      <c r="J5" s="7">
        <f t="shared" si="3"/>
        <v>35</v>
      </c>
      <c r="K5" s="7">
        <f t="shared" si="4"/>
        <v>70</v>
      </c>
    </row>
    <row r="6">
      <c r="B6" s="2" t="s">
        <v>25</v>
      </c>
      <c r="C6" s="2">
        <v>7.0</v>
      </c>
      <c r="D6" s="2">
        <v>15.0</v>
      </c>
      <c r="E6" s="2">
        <v>2.0</v>
      </c>
      <c r="F6" s="2">
        <v>1.0</v>
      </c>
      <c r="G6" s="7">
        <f t="shared" si="1"/>
        <v>18</v>
      </c>
      <c r="H6" s="7">
        <f t="shared" si="2"/>
        <v>126</v>
      </c>
      <c r="J6" s="7">
        <f t="shared" si="3"/>
        <v>35</v>
      </c>
      <c r="K6" s="7">
        <f t="shared" si="4"/>
        <v>245</v>
      </c>
    </row>
    <row r="7">
      <c r="B7" s="2" t="s">
        <v>26</v>
      </c>
      <c r="C7" s="2">
        <v>1.0</v>
      </c>
      <c r="D7" s="2">
        <v>15.0</v>
      </c>
      <c r="E7" s="2">
        <v>2.0</v>
      </c>
      <c r="F7" s="2">
        <v>1.0</v>
      </c>
      <c r="G7" s="7">
        <f t="shared" si="1"/>
        <v>18</v>
      </c>
      <c r="H7" s="7">
        <f t="shared" si="2"/>
        <v>18</v>
      </c>
      <c r="J7" s="7">
        <f t="shared" si="3"/>
        <v>35</v>
      </c>
      <c r="K7" s="7">
        <f t="shared" si="4"/>
        <v>35</v>
      </c>
    </row>
    <row r="8">
      <c r="B8" s="2" t="s">
        <v>27</v>
      </c>
      <c r="C8" s="2">
        <v>2.0</v>
      </c>
      <c r="D8" s="2">
        <v>15.0</v>
      </c>
      <c r="E8" s="2">
        <v>2.0</v>
      </c>
      <c r="F8" s="2">
        <v>1.0</v>
      </c>
      <c r="G8" s="7">
        <f t="shared" si="1"/>
        <v>18</v>
      </c>
      <c r="H8" s="7">
        <f t="shared" si="2"/>
        <v>36</v>
      </c>
      <c r="J8" s="7">
        <f t="shared" si="3"/>
        <v>35</v>
      </c>
      <c r="K8" s="7">
        <f t="shared" si="4"/>
        <v>70</v>
      </c>
    </row>
    <row r="9">
      <c r="B9" s="2" t="s">
        <v>28</v>
      </c>
      <c r="C9" s="2">
        <v>2.0</v>
      </c>
      <c r="D9" s="2">
        <v>15.0</v>
      </c>
      <c r="E9" s="2">
        <v>2.0</v>
      </c>
      <c r="F9" s="2">
        <v>1.0</v>
      </c>
      <c r="G9" s="7">
        <f t="shared" si="1"/>
        <v>18</v>
      </c>
      <c r="H9" s="7">
        <f t="shared" si="2"/>
        <v>36</v>
      </c>
      <c r="J9" s="7">
        <f t="shared" si="3"/>
        <v>35</v>
      </c>
      <c r="K9" s="7">
        <f t="shared" si="4"/>
        <v>70</v>
      </c>
    </row>
    <row r="10">
      <c r="B10" s="2" t="s">
        <v>29</v>
      </c>
      <c r="C10" s="2">
        <v>2.0</v>
      </c>
      <c r="D10" s="2">
        <v>15.0</v>
      </c>
      <c r="E10" s="2">
        <v>2.0</v>
      </c>
      <c r="F10" s="2">
        <v>1.0</v>
      </c>
      <c r="G10" s="7">
        <f t="shared" si="1"/>
        <v>18</v>
      </c>
      <c r="H10" s="7">
        <f t="shared" si="2"/>
        <v>36</v>
      </c>
      <c r="J10" s="7">
        <f t="shared" si="3"/>
        <v>35</v>
      </c>
      <c r="K10" s="7">
        <f t="shared" si="4"/>
        <v>70</v>
      </c>
    </row>
    <row r="11">
      <c r="B11" s="2" t="s">
        <v>30</v>
      </c>
      <c r="C11" s="2">
        <v>4.0</v>
      </c>
      <c r="D11" s="2">
        <v>15.0</v>
      </c>
      <c r="E11" s="2">
        <v>2.0</v>
      </c>
      <c r="F11" s="2">
        <v>1.0</v>
      </c>
      <c r="G11" s="7">
        <f t="shared" si="1"/>
        <v>18</v>
      </c>
      <c r="H11" s="7">
        <f t="shared" si="2"/>
        <v>72</v>
      </c>
      <c r="J11" s="7">
        <f t="shared" si="3"/>
        <v>35</v>
      </c>
      <c r="K11" s="7">
        <f t="shared" si="4"/>
        <v>140</v>
      </c>
    </row>
    <row r="12">
      <c r="B12" s="2" t="s">
        <v>31</v>
      </c>
      <c r="C12" s="2">
        <v>1.0</v>
      </c>
      <c r="D12" s="2">
        <v>15.0</v>
      </c>
      <c r="E12" s="2">
        <v>2.0</v>
      </c>
      <c r="F12" s="2">
        <v>1.0</v>
      </c>
      <c r="G12" s="7">
        <f t="shared" si="1"/>
        <v>18</v>
      </c>
      <c r="H12" s="7">
        <f t="shared" si="2"/>
        <v>18</v>
      </c>
      <c r="J12" s="7">
        <f t="shared" si="3"/>
        <v>35</v>
      </c>
      <c r="K12" s="7">
        <f t="shared" si="4"/>
        <v>35</v>
      </c>
    </row>
    <row r="13">
      <c r="B13" s="2" t="s">
        <v>32</v>
      </c>
      <c r="C13" s="2">
        <v>2.0</v>
      </c>
      <c r="D13" s="2">
        <v>15.0</v>
      </c>
      <c r="E13" s="2">
        <v>2.0</v>
      </c>
      <c r="F13" s="2">
        <v>1.0</v>
      </c>
      <c r="G13" s="7">
        <f t="shared" si="1"/>
        <v>18</v>
      </c>
      <c r="H13" s="7">
        <f t="shared" si="2"/>
        <v>36</v>
      </c>
      <c r="J13" s="7">
        <f t="shared" si="3"/>
        <v>35</v>
      </c>
      <c r="K13" s="7">
        <f t="shared" si="4"/>
        <v>70</v>
      </c>
    </row>
    <row r="14">
      <c r="B14" s="2" t="s">
        <v>33</v>
      </c>
      <c r="C14" s="2">
        <v>1.0</v>
      </c>
      <c r="D14" s="2">
        <v>15.0</v>
      </c>
      <c r="E14" s="2">
        <v>2.0</v>
      </c>
      <c r="F14" s="2">
        <v>1.0</v>
      </c>
      <c r="G14" s="7">
        <f t="shared" si="1"/>
        <v>18</v>
      </c>
      <c r="H14" s="7">
        <f t="shared" si="2"/>
        <v>18</v>
      </c>
      <c r="J14" s="7">
        <f t="shared" si="3"/>
        <v>35</v>
      </c>
      <c r="K14" s="7">
        <f t="shared" si="4"/>
        <v>35</v>
      </c>
    </row>
    <row r="15">
      <c r="B15" s="2" t="s">
        <v>34</v>
      </c>
      <c r="C15" s="2">
        <v>1.0</v>
      </c>
      <c r="D15" s="2">
        <v>15.0</v>
      </c>
      <c r="E15" s="2">
        <v>2.0</v>
      </c>
      <c r="F15" s="2">
        <v>1.0</v>
      </c>
      <c r="G15" s="7">
        <f t="shared" si="1"/>
        <v>18</v>
      </c>
      <c r="H15" s="7">
        <f t="shared" si="2"/>
        <v>18</v>
      </c>
      <c r="J15" s="7">
        <f t="shared" si="3"/>
        <v>35</v>
      </c>
      <c r="K15" s="7">
        <f t="shared" si="4"/>
        <v>35</v>
      </c>
    </row>
    <row r="16">
      <c r="B16" s="2" t="s">
        <v>35</v>
      </c>
      <c r="C16" s="2">
        <v>2.0</v>
      </c>
      <c r="D16" s="2">
        <v>15.0</v>
      </c>
      <c r="E16" s="2">
        <v>2.0</v>
      </c>
      <c r="F16" s="2">
        <v>1.0</v>
      </c>
      <c r="G16" s="7">
        <f t="shared" si="1"/>
        <v>18</v>
      </c>
      <c r="H16" s="7">
        <f t="shared" si="2"/>
        <v>36</v>
      </c>
      <c r="J16" s="7">
        <f t="shared" si="3"/>
        <v>35</v>
      </c>
      <c r="K16" s="7">
        <f t="shared" si="4"/>
        <v>70</v>
      </c>
    </row>
    <row r="17">
      <c r="B17" s="2" t="s">
        <v>36</v>
      </c>
      <c r="C17" s="2">
        <v>2.0</v>
      </c>
      <c r="D17" s="2">
        <v>15.0</v>
      </c>
      <c r="E17" s="2">
        <v>2.0</v>
      </c>
      <c r="F17" s="2">
        <v>1.0</v>
      </c>
      <c r="G17" s="7">
        <f t="shared" si="1"/>
        <v>18</v>
      </c>
      <c r="H17" s="7">
        <f t="shared" si="2"/>
        <v>36</v>
      </c>
      <c r="J17" s="7">
        <f t="shared" si="3"/>
        <v>35</v>
      </c>
      <c r="K17" s="7">
        <f t="shared" si="4"/>
        <v>70</v>
      </c>
    </row>
    <row r="18">
      <c r="B18" s="2" t="s">
        <v>37</v>
      </c>
      <c r="C18" s="2">
        <v>3.0</v>
      </c>
      <c r="D18" s="2">
        <v>15.0</v>
      </c>
      <c r="E18" s="2">
        <v>2.0</v>
      </c>
      <c r="F18" s="2">
        <v>1.0</v>
      </c>
      <c r="G18" s="7">
        <f t="shared" si="1"/>
        <v>18</v>
      </c>
      <c r="H18" s="7">
        <f t="shared" si="2"/>
        <v>54</v>
      </c>
      <c r="J18" s="7">
        <f t="shared" si="3"/>
        <v>35</v>
      </c>
      <c r="K18" s="7">
        <f t="shared" si="4"/>
        <v>105</v>
      </c>
    </row>
    <row r="19">
      <c r="B19" s="2" t="s">
        <v>38</v>
      </c>
      <c r="C19" s="2">
        <v>5.0</v>
      </c>
      <c r="D19" s="2">
        <v>15.0</v>
      </c>
      <c r="E19" s="2">
        <v>2.0</v>
      </c>
      <c r="F19" s="2">
        <v>1.0</v>
      </c>
      <c r="G19" s="7">
        <f t="shared" si="1"/>
        <v>18</v>
      </c>
      <c r="H19" s="7">
        <f t="shared" si="2"/>
        <v>90</v>
      </c>
      <c r="J19" s="7">
        <f t="shared" si="3"/>
        <v>35</v>
      </c>
      <c r="K19" s="7">
        <f t="shared" si="4"/>
        <v>175</v>
      </c>
    </row>
    <row r="20">
      <c r="B20" s="2" t="s">
        <v>39</v>
      </c>
      <c r="C20" s="2">
        <v>2.0</v>
      </c>
      <c r="D20" s="2">
        <v>15.0</v>
      </c>
      <c r="E20" s="2">
        <v>2.0</v>
      </c>
      <c r="F20" s="2">
        <v>1.0</v>
      </c>
      <c r="G20" s="7">
        <f t="shared" si="1"/>
        <v>18</v>
      </c>
      <c r="H20" s="7">
        <f t="shared" si="2"/>
        <v>36</v>
      </c>
      <c r="J20" s="7">
        <f t="shared" si="3"/>
        <v>35</v>
      </c>
      <c r="K20" s="7">
        <f t="shared" si="4"/>
        <v>70</v>
      </c>
    </row>
    <row r="21">
      <c r="B21" s="2" t="s">
        <v>40</v>
      </c>
      <c r="C21" s="2">
        <v>2.0</v>
      </c>
      <c r="D21" s="2">
        <v>15.0</v>
      </c>
      <c r="E21" s="2">
        <v>2.0</v>
      </c>
      <c r="F21" s="2">
        <v>1.0</v>
      </c>
      <c r="G21" s="7">
        <f t="shared" si="1"/>
        <v>18</v>
      </c>
      <c r="H21" s="7">
        <f t="shared" si="2"/>
        <v>36</v>
      </c>
      <c r="J21" s="7">
        <f t="shared" si="3"/>
        <v>35</v>
      </c>
      <c r="K21" s="7">
        <f t="shared" si="4"/>
        <v>70</v>
      </c>
    </row>
    <row r="22">
      <c r="B22" s="2" t="s">
        <v>41</v>
      </c>
      <c r="C22" s="2">
        <v>1.0</v>
      </c>
      <c r="D22" s="2">
        <v>15.0</v>
      </c>
      <c r="E22" s="2">
        <v>2.0</v>
      </c>
      <c r="F22" s="2">
        <v>1.0</v>
      </c>
      <c r="G22" s="7">
        <f t="shared" si="1"/>
        <v>18</v>
      </c>
      <c r="H22" s="7">
        <f t="shared" si="2"/>
        <v>18</v>
      </c>
      <c r="J22" s="7">
        <f t="shared" si="3"/>
        <v>35</v>
      </c>
      <c r="K22" s="7">
        <f t="shared" si="4"/>
        <v>35</v>
      </c>
    </row>
    <row r="23">
      <c r="B23" s="2" t="s">
        <v>42</v>
      </c>
      <c r="C23" s="2">
        <v>1.0</v>
      </c>
      <c r="D23" s="2">
        <v>15.0</v>
      </c>
      <c r="E23" s="2">
        <v>2.0</v>
      </c>
      <c r="F23" s="2">
        <v>1.0</v>
      </c>
      <c r="G23" s="7">
        <f t="shared" si="1"/>
        <v>18</v>
      </c>
      <c r="H23" s="7">
        <f t="shared" si="2"/>
        <v>18</v>
      </c>
      <c r="J23" s="7">
        <f t="shared" si="3"/>
        <v>35</v>
      </c>
      <c r="K23" s="7">
        <f t="shared" si="4"/>
        <v>35</v>
      </c>
    </row>
    <row r="24">
      <c r="B24" s="2" t="s">
        <v>43</v>
      </c>
      <c r="C24" s="2">
        <v>2.0</v>
      </c>
      <c r="D24" s="2">
        <v>15.0</v>
      </c>
      <c r="E24" s="2">
        <v>2.0</v>
      </c>
      <c r="F24" s="2">
        <v>1.0</v>
      </c>
      <c r="G24" s="7">
        <f t="shared" si="1"/>
        <v>18</v>
      </c>
      <c r="H24" s="7">
        <f t="shared" si="2"/>
        <v>36</v>
      </c>
      <c r="J24" s="7">
        <f t="shared" si="3"/>
        <v>35</v>
      </c>
      <c r="K24" s="7">
        <f t="shared" si="4"/>
        <v>70</v>
      </c>
    </row>
    <row r="25">
      <c r="B25" s="2" t="s">
        <v>44</v>
      </c>
      <c r="C25" s="2">
        <v>1.0</v>
      </c>
      <c r="D25" s="2">
        <v>15.0</v>
      </c>
      <c r="E25" s="2">
        <v>2.0</v>
      </c>
      <c r="F25" s="2">
        <v>1.0</v>
      </c>
      <c r="G25" s="7">
        <f t="shared" si="1"/>
        <v>18</v>
      </c>
      <c r="H25" s="7">
        <f t="shared" si="2"/>
        <v>18</v>
      </c>
      <c r="J25" s="7">
        <f t="shared" si="3"/>
        <v>35</v>
      </c>
      <c r="K25" s="7">
        <f t="shared" si="4"/>
        <v>35</v>
      </c>
    </row>
    <row r="26">
      <c r="B26" s="2" t="s">
        <v>45</v>
      </c>
      <c r="C26" s="2">
        <v>1.0</v>
      </c>
      <c r="D26" s="2">
        <v>15.0</v>
      </c>
      <c r="E26" s="2">
        <v>2.0</v>
      </c>
      <c r="F26" s="2">
        <v>1.0</v>
      </c>
      <c r="G26" s="7">
        <f t="shared" si="1"/>
        <v>18</v>
      </c>
      <c r="H26" s="7">
        <f t="shared" si="2"/>
        <v>18</v>
      </c>
      <c r="J26" s="7">
        <f t="shared" si="3"/>
        <v>35</v>
      </c>
      <c r="K26" s="7">
        <f t="shared" si="4"/>
        <v>35</v>
      </c>
    </row>
    <row r="27">
      <c r="B27" s="2" t="s">
        <v>46</v>
      </c>
      <c r="C27" s="2">
        <v>8.0</v>
      </c>
      <c r="D27" s="2">
        <v>15.0</v>
      </c>
      <c r="E27" s="2">
        <v>2.0</v>
      </c>
      <c r="F27" s="2">
        <v>1.0</v>
      </c>
      <c r="G27" s="7">
        <f t="shared" si="1"/>
        <v>18</v>
      </c>
      <c r="H27" s="7">
        <f t="shared" si="2"/>
        <v>144</v>
      </c>
      <c r="J27" s="7">
        <f t="shared" si="3"/>
        <v>35</v>
      </c>
      <c r="K27" s="7">
        <f t="shared" si="4"/>
        <v>280</v>
      </c>
    </row>
    <row r="28">
      <c r="B28" s="2" t="s">
        <v>47</v>
      </c>
      <c r="C28" s="2">
        <v>5.0</v>
      </c>
      <c r="D28" s="2">
        <v>15.0</v>
      </c>
      <c r="E28" s="2">
        <v>2.0</v>
      </c>
      <c r="F28" s="2">
        <v>1.0</v>
      </c>
      <c r="G28" s="7">
        <f t="shared" si="1"/>
        <v>18</v>
      </c>
      <c r="H28" s="7">
        <f t="shared" si="2"/>
        <v>90</v>
      </c>
      <c r="J28" s="7">
        <f t="shared" si="3"/>
        <v>35</v>
      </c>
      <c r="K28" s="7">
        <f t="shared" si="4"/>
        <v>175</v>
      </c>
    </row>
    <row r="29">
      <c r="B29" s="2" t="s">
        <v>48</v>
      </c>
      <c r="C29" s="2">
        <v>1.0</v>
      </c>
      <c r="D29" s="2">
        <v>15.0</v>
      </c>
      <c r="E29" s="2">
        <v>2.0</v>
      </c>
      <c r="F29" s="2">
        <v>1.0</v>
      </c>
      <c r="G29" s="7">
        <f t="shared" si="1"/>
        <v>18</v>
      </c>
      <c r="H29" s="7">
        <f t="shared" si="2"/>
        <v>18</v>
      </c>
      <c r="J29" s="7">
        <f t="shared" si="3"/>
        <v>35</v>
      </c>
      <c r="K29" s="7">
        <f t="shared" si="4"/>
        <v>35</v>
      </c>
    </row>
    <row r="30">
      <c r="B30" s="2" t="s">
        <v>49</v>
      </c>
      <c r="C30" s="2">
        <v>2.0</v>
      </c>
      <c r="D30" s="2">
        <v>15.0</v>
      </c>
      <c r="E30" s="2">
        <v>2.0</v>
      </c>
      <c r="F30" s="2">
        <v>1.0</v>
      </c>
      <c r="G30" s="7">
        <f t="shared" si="1"/>
        <v>18</v>
      </c>
      <c r="H30" s="7">
        <f t="shared" si="2"/>
        <v>36</v>
      </c>
      <c r="J30" s="7">
        <f t="shared" si="3"/>
        <v>35</v>
      </c>
      <c r="K30" s="7">
        <f t="shared" si="4"/>
        <v>70</v>
      </c>
    </row>
    <row r="31">
      <c r="B31" s="2" t="s">
        <v>50</v>
      </c>
      <c r="C31" s="2">
        <v>6.0</v>
      </c>
      <c r="D31" s="2">
        <v>15.0</v>
      </c>
      <c r="E31" s="2">
        <v>2.0</v>
      </c>
      <c r="F31" s="2">
        <v>1.0</v>
      </c>
      <c r="G31" s="7">
        <f t="shared" si="1"/>
        <v>18</v>
      </c>
      <c r="H31" s="7">
        <f t="shared" si="2"/>
        <v>108</v>
      </c>
      <c r="J31" s="7">
        <f t="shared" si="3"/>
        <v>35</v>
      </c>
      <c r="K31" s="7">
        <f t="shared" si="4"/>
        <v>210</v>
      </c>
    </row>
    <row r="32">
      <c r="B32" s="2" t="s">
        <v>51</v>
      </c>
      <c r="C32" s="2">
        <v>2.0</v>
      </c>
      <c r="G32" s="7">
        <f t="shared" si="1"/>
        <v>0</v>
      </c>
      <c r="H32" s="7">
        <f>SUM(H2:H31)</f>
        <v>1449</v>
      </c>
      <c r="K32" s="7">
        <f>SUM(K2:K31)</f>
        <v>2695</v>
      </c>
    </row>
    <row r="33">
      <c r="B33" s="2" t="s">
        <v>52</v>
      </c>
      <c r="C33" s="2">
        <v>1.0</v>
      </c>
    </row>
    <row r="34">
      <c r="B34" s="2" t="s">
        <v>53</v>
      </c>
      <c r="C34" s="2">
        <v>1.0</v>
      </c>
    </row>
    <row r="35">
      <c r="B35" s="2" t="s">
        <v>54</v>
      </c>
      <c r="C35" s="2">
        <v>1.0</v>
      </c>
    </row>
    <row r="36">
      <c r="B36" s="2" t="s">
        <v>55</v>
      </c>
      <c r="C36" s="2">
        <v>2.0</v>
      </c>
    </row>
    <row r="37">
      <c r="B37" s="2" t="s">
        <v>56</v>
      </c>
      <c r="C37" s="2">
        <v>3.0</v>
      </c>
    </row>
    <row r="38">
      <c r="B38" s="2" t="s">
        <v>57</v>
      </c>
      <c r="C38" s="2">
        <v>1.0</v>
      </c>
    </row>
    <row r="39">
      <c r="B39" s="2" t="s">
        <v>58</v>
      </c>
      <c r="C39" s="2">
        <v>1.0</v>
      </c>
    </row>
    <row r="40">
      <c r="B40" s="2" t="s">
        <v>59</v>
      </c>
      <c r="C40" s="2">
        <v>1.0</v>
      </c>
    </row>
    <row r="41">
      <c r="B41" s="2" t="s">
        <v>60</v>
      </c>
      <c r="C41" s="2">
        <v>1.0</v>
      </c>
    </row>
    <row r="42">
      <c r="B42" s="2" t="s">
        <v>61</v>
      </c>
      <c r="C42" s="2">
        <v>1.0</v>
      </c>
    </row>
    <row r="43">
      <c r="B43" s="2" t="s">
        <v>62</v>
      </c>
      <c r="C43" s="2">
        <v>1.0</v>
      </c>
    </row>
    <row r="44">
      <c r="B44" s="2" t="s">
        <v>63</v>
      </c>
      <c r="C44" s="2">
        <v>1.0</v>
      </c>
    </row>
    <row r="45">
      <c r="B45" s="2" t="s">
        <v>64</v>
      </c>
      <c r="C45" s="2">
        <v>3.0</v>
      </c>
    </row>
    <row r="46">
      <c r="B46" s="2" t="s">
        <v>65</v>
      </c>
      <c r="C46" s="2">
        <v>2.0</v>
      </c>
    </row>
    <row r="47">
      <c r="B47" s="2" t="s">
        <v>66</v>
      </c>
      <c r="C47" s="2">
        <v>1.0</v>
      </c>
    </row>
    <row r="48">
      <c r="B48" s="2" t="s">
        <v>67</v>
      </c>
      <c r="C48" s="2">
        <v>1.0</v>
      </c>
    </row>
    <row r="49">
      <c r="B49" s="2" t="s">
        <v>68</v>
      </c>
      <c r="C49" s="2">
        <v>1.0</v>
      </c>
    </row>
    <row r="50">
      <c r="B50" s="2" t="s">
        <v>69</v>
      </c>
      <c r="C50" s="2">
        <v>2.0</v>
      </c>
    </row>
    <row r="51">
      <c r="B51" s="2" t="s">
        <v>70</v>
      </c>
      <c r="C51" s="2">
        <v>1.0</v>
      </c>
    </row>
    <row r="52">
      <c r="B52" s="2" t="s">
        <v>71</v>
      </c>
      <c r="C52" s="2">
        <v>1.0</v>
      </c>
    </row>
    <row r="53">
      <c r="B53" s="2" t="s">
        <v>72</v>
      </c>
      <c r="C53" s="2">
        <v>3.0</v>
      </c>
    </row>
    <row r="54">
      <c r="B54" s="2" t="s">
        <v>73</v>
      </c>
      <c r="C54" s="2">
        <v>1.0</v>
      </c>
    </row>
    <row r="55">
      <c r="B55" s="2" t="s">
        <v>74</v>
      </c>
      <c r="C55" s="2">
        <v>1.0</v>
      </c>
    </row>
    <row r="56">
      <c r="B56" s="2" t="s">
        <v>75</v>
      </c>
      <c r="C56" s="2">
        <v>4.0</v>
      </c>
    </row>
    <row r="57">
      <c r="B57" s="2" t="s">
        <v>76</v>
      </c>
      <c r="C57" s="2">
        <v>2.0</v>
      </c>
    </row>
    <row r="58">
      <c r="B58" s="2" t="s">
        <v>77</v>
      </c>
      <c r="C58" s="2">
        <v>1.0</v>
      </c>
    </row>
    <row r="59">
      <c r="B59" s="2" t="s">
        <v>78</v>
      </c>
      <c r="C59" s="2">
        <v>1.0</v>
      </c>
    </row>
    <row r="60">
      <c r="B60" s="2" t="s">
        <v>79</v>
      </c>
      <c r="C60" s="2">
        <v>5.0</v>
      </c>
    </row>
    <row r="61">
      <c r="B61" s="2" t="s">
        <v>80</v>
      </c>
      <c r="C61" s="2">
        <v>1.0</v>
      </c>
    </row>
    <row r="62">
      <c r="B62" s="2" t="s">
        <v>81</v>
      </c>
      <c r="C62" s="2">
        <v>1.0</v>
      </c>
    </row>
    <row r="63">
      <c r="B63" s="2" t="s">
        <v>82</v>
      </c>
      <c r="C63" s="2">
        <v>2.0</v>
      </c>
    </row>
    <row r="64">
      <c r="B64" s="2" t="s">
        <v>83</v>
      </c>
      <c r="C64" s="2">
        <v>1.0</v>
      </c>
    </row>
    <row r="65">
      <c r="B65" s="2" t="s">
        <v>84</v>
      </c>
      <c r="C65" s="2">
        <v>1.0</v>
      </c>
    </row>
    <row r="66">
      <c r="B66" s="2" t="s">
        <v>85</v>
      </c>
      <c r="C66" s="2">
        <v>2.0</v>
      </c>
    </row>
    <row r="67">
      <c r="B67" s="2" t="s">
        <v>86</v>
      </c>
      <c r="C67" s="2">
        <v>1.0</v>
      </c>
    </row>
    <row r="68">
      <c r="B68" s="2" t="s">
        <v>87</v>
      </c>
      <c r="C68" s="2">
        <v>1.0</v>
      </c>
    </row>
    <row r="69">
      <c r="B69" s="2" t="s">
        <v>88</v>
      </c>
      <c r="C69" s="2">
        <v>1.0</v>
      </c>
    </row>
    <row r="70">
      <c r="B70" s="2" t="s">
        <v>89</v>
      </c>
      <c r="C70" s="2">
        <v>2.0</v>
      </c>
    </row>
    <row r="71">
      <c r="B71" s="2" t="s">
        <v>90</v>
      </c>
      <c r="C71" s="2">
        <v>1.0</v>
      </c>
    </row>
    <row r="72">
      <c r="B72" s="2" t="s">
        <v>91</v>
      </c>
      <c r="C72" s="2">
        <v>2.0</v>
      </c>
    </row>
    <row r="73">
      <c r="B73" s="2" t="s">
        <v>92</v>
      </c>
      <c r="C73" s="2">
        <v>1.0</v>
      </c>
    </row>
    <row r="74">
      <c r="B74" s="2" t="s">
        <v>93</v>
      </c>
      <c r="C74" s="2">
        <v>1.0</v>
      </c>
    </row>
    <row r="75">
      <c r="B75" s="2" t="s">
        <v>94</v>
      </c>
      <c r="C75" s="2">
        <v>5.0</v>
      </c>
    </row>
    <row r="76">
      <c r="B76" s="2" t="s">
        <v>95</v>
      </c>
      <c r="C76" s="2">
        <v>1.0</v>
      </c>
    </row>
    <row r="77">
      <c r="B77" s="2" t="s">
        <v>96</v>
      </c>
      <c r="C77" s="2">
        <v>1.0</v>
      </c>
    </row>
    <row r="78">
      <c r="B78" s="2" t="s">
        <v>97</v>
      </c>
      <c r="C78" s="2">
        <v>4.0</v>
      </c>
    </row>
    <row r="79">
      <c r="C79" s="7">
        <f>SUM(C33:C78)</f>
        <v>74</v>
      </c>
    </row>
  </sheetData>
  <autoFilter ref="$A$1:$Z$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</cols>
  <sheetData>
    <row r="2">
      <c r="B2" s="8" t="s">
        <v>98</v>
      </c>
      <c r="C2" s="8" t="s">
        <v>99</v>
      </c>
      <c r="D2" s="8" t="s">
        <v>17</v>
      </c>
      <c r="E2" s="8" t="s">
        <v>100</v>
      </c>
      <c r="F2" s="8"/>
    </row>
    <row r="3">
      <c r="B3" s="8" t="s">
        <v>101</v>
      </c>
      <c r="C3" s="9">
        <v>1.0</v>
      </c>
      <c r="D3" s="9">
        <v>6.0</v>
      </c>
      <c r="E3" s="9">
        <f t="shared" ref="E3:E5" si="1">C3*D3</f>
        <v>6</v>
      </c>
      <c r="F3" s="8"/>
    </row>
    <row r="4">
      <c r="B4" s="8" t="s">
        <v>102</v>
      </c>
      <c r="C4" s="9">
        <v>1.0</v>
      </c>
      <c r="D4" s="9">
        <v>6.0</v>
      </c>
      <c r="E4" s="9">
        <f t="shared" si="1"/>
        <v>6</v>
      </c>
      <c r="F4" s="8"/>
    </row>
    <row r="5">
      <c r="B5" s="8" t="s">
        <v>103</v>
      </c>
      <c r="C5" s="9">
        <v>1.0</v>
      </c>
      <c r="D5" s="9">
        <v>6.0</v>
      </c>
      <c r="E5" s="9">
        <f t="shared" si="1"/>
        <v>6</v>
      </c>
      <c r="F5" s="8"/>
    </row>
    <row r="6">
      <c r="B6" s="8" t="s">
        <v>104</v>
      </c>
      <c r="C6" s="9">
        <v>8.0</v>
      </c>
      <c r="D6" s="9">
        <f>5.5*3.7/C6</f>
        <v>2.54375</v>
      </c>
      <c r="E6" s="9">
        <f>D6*10</f>
        <v>25.4375</v>
      </c>
      <c r="F6" s="8"/>
    </row>
    <row r="7">
      <c r="B7" s="8" t="s">
        <v>105</v>
      </c>
      <c r="C7" s="9">
        <v>10.0</v>
      </c>
      <c r="D7" s="9">
        <f>4*3.7/C7</f>
        <v>1.48</v>
      </c>
      <c r="E7" s="9">
        <f>C7*D7</f>
        <v>14.8</v>
      </c>
      <c r="F7" s="8"/>
    </row>
    <row r="8">
      <c r="B8" s="8" t="s">
        <v>106</v>
      </c>
      <c r="C8" s="10">
        <v>9.0</v>
      </c>
      <c r="D8" s="8"/>
      <c r="E8" s="8"/>
      <c r="F8" s="8"/>
    </row>
    <row r="9">
      <c r="B9" s="8" t="s">
        <v>107</v>
      </c>
      <c r="C9" s="9">
        <v>4.0</v>
      </c>
      <c r="D9" s="8"/>
      <c r="E9" s="8"/>
      <c r="F9" s="8"/>
    </row>
    <row r="10">
      <c r="B10" s="8" t="s">
        <v>108</v>
      </c>
      <c r="C10" s="9">
        <v>1.0</v>
      </c>
      <c r="D10" s="8"/>
      <c r="E10" s="8"/>
      <c r="F10" s="8"/>
    </row>
    <row r="11">
      <c r="B11" s="8" t="s">
        <v>109</v>
      </c>
      <c r="C11" s="9">
        <v>1.0</v>
      </c>
      <c r="D11" s="8"/>
      <c r="E11" s="8"/>
      <c r="F11" s="8"/>
    </row>
    <row r="12">
      <c r="B12" s="8" t="s">
        <v>110</v>
      </c>
      <c r="C12" s="9">
        <v>1.0</v>
      </c>
      <c r="D12" s="8"/>
      <c r="E12" s="8"/>
      <c r="F12" s="8"/>
    </row>
    <row r="13">
      <c r="B13" s="8" t="s">
        <v>111</v>
      </c>
      <c r="C13" s="9">
        <v>3.0</v>
      </c>
      <c r="D13" s="9">
        <f>1.5*3.7/C13</f>
        <v>1.85</v>
      </c>
      <c r="E13" s="9">
        <f>C13*D13</f>
        <v>5.55</v>
      </c>
      <c r="F13" s="8"/>
    </row>
    <row r="14">
      <c r="B14" s="8" t="s">
        <v>112</v>
      </c>
      <c r="C14" s="9">
        <v>1.0</v>
      </c>
      <c r="D14" s="8"/>
      <c r="E14" s="8"/>
      <c r="F14" s="8"/>
    </row>
    <row r="15">
      <c r="B15" s="8" t="s">
        <v>113</v>
      </c>
      <c r="C15" s="9">
        <v>20.0</v>
      </c>
      <c r="D15" s="9">
        <f>20/100</f>
        <v>0.2</v>
      </c>
      <c r="E15" s="9">
        <f>C15*D15</f>
        <v>4</v>
      </c>
      <c r="F15" s="8"/>
    </row>
    <row r="16">
      <c r="B16" s="8" t="s">
        <v>114</v>
      </c>
      <c r="C16" s="9">
        <v>4.0</v>
      </c>
      <c r="D16" s="8"/>
      <c r="E16" s="8"/>
      <c r="F16" s="8"/>
    </row>
    <row r="17">
      <c r="B17" s="8" t="s">
        <v>115</v>
      </c>
      <c r="C17" s="9">
        <v>17.0</v>
      </c>
      <c r="D17" s="8"/>
      <c r="E17" s="8"/>
      <c r="F17" s="8"/>
    </row>
    <row r="18">
      <c r="B18" s="8" t="s">
        <v>116</v>
      </c>
      <c r="C18" s="9">
        <v>2.0</v>
      </c>
      <c r="D18" s="8"/>
      <c r="E18" s="8"/>
      <c r="F18" s="8"/>
    </row>
    <row r="19">
      <c r="B19" s="8" t="s">
        <v>117</v>
      </c>
      <c r="C19" s="9">
        <v>1.0</v>
      </c>
      <c r="D19" s="8"/>
      <c r="E19" s="8"/>
      <c r="F19" s="8"/>
    </row>
    <row r="20">
      <c r="B20" s="2" t="s">
        <v>118</v>
      </c>
      <c r="C20" s="2">
        <v>15.0</v>
      </c>
      <c r="D20" s="2">
        <v>3.5</v>
      </c>
    </row>
    <row r="21">
      <c r="B21" s="2" t="s">
        <v>119</v>
      </c>
      <c r="C21" s="2">
        <v>1.0</v>
      </c>
    </row>
    <row r="22">
      <c r="B22" s="2" t="s">
        <v>120</v>
      </c>
      <c r="C22" s="2">
        <v>5.0</v>
      </c>
    </row>
    <row r="23">
      <c r="B23" s="2" t="s">
        <v>121</v>
      </c>
      <c r="C23" s="2">
        <v>4.0</v>
      </c>
    </row>
    <row r="24">
      <c r="B24" s="2" t="s">
        <v>122</v>
      </c>
    </row>
    <row r="25">
      <c r="B25" s="2" t="s">
        <v>123</v>
      </c>
      <c r="C25" s="2">
        <v>1.0</v>
      </c>
    </row>
    <row r="26">
      <c r="B26" s="2" t="s">
        <v>124</v>
      </c>
      <c r="C26" s="2">
        <v>3.0</v>
      </c>
    </row>
    <row r="27">
      <c r="B27" s="2" t="s">
        <v>125</v>
      </c>
      <c r="C27" s="2">
        <v>3.0</v>
      </c>
      <c r="D27" s="2">
        <v>4.0</v>
      </c>
    </row>
    <row r="28">
      <c r="B28" s="2" t="s">
        <v>126</v>
      </c>
      <c r="C28" s="2">
        <v>12.0</v>
      </c>
      <c r="D28" s="2">
        <v>1.5</v>
      </c>
    </row>
    <row r="30">
      <c r="B30" s="2" t="s">
        <v>127</v>
      </c>
      <c r="C30" s="2">
        <v>1.0</v>
      </c>
    </row>
    <row r="31">
      <c r="B31" s="2" t="s">
        <v>128</v>
      </c>
      <c r="C31" s="2">
        <v>1.0</v>
      </c>
    </row>
    <row r="32">
      <c r="B32" s="2" t="s">
        <v>129</v>
      </c>
      <c r="C32" s="2">
        <v>1.0</v>
      </c>
    </row>
    <row r="33">
      <c r="B33" s="2" t="s">
        <v>130</v>
      </c>
      <c r="C33" s="2">
        <v>13.0</v>
      </c>
    </row>
    <row r="34">
      <c r="B34" s="2" t="s">
        <v>131</v>
      </c>
      <c r="C34" s="2">
        <v>1.0</v>
      </c>
    </row>
    <row r="35">
      <c r="C35" s="2">
        <v>2.0</v>
      </c>
    </row>
    <row r="36">
      <c r="C36" s="2">
        <v>1.0</v>
      </c>
    </row>
  </sheetData>
  <drawing r:id="rId1"/>
</worksheet>
</file>