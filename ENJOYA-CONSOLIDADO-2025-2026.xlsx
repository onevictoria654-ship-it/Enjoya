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COSTOS-PRODUCTOS" sheetId="2" state="visible" r:id="rId2"/>
    <sheet name="PUNTO-EQUILIBRIO" sheetId="3" state="visible" r:id="rId3"/>
    <sheet name="VENTAS-INGRESOS" sheetId="4" state="visible" r:id="rId4"/>
    <sheet name="GUIA-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S/&quot;#,##0.00"/>
    <numFmt numFmtId="165" formatCode="0.0&quot;%&quot;"/>
    <numFmt numFmtId="166" formatCode="0.0"/>
    <numFmt numFmtId="167" formatCode="&quot;S/&quot;#,##0.000"/>
    <numFmt numFmtId="168" formatCode="yyyy-mm-dd"/>
    <numFmt numFmtId="169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FFFFFF"/>
      <sz val="14"/>
    </font>
    <font>
      <name val="Calibri"/>
      <color rgb="00006100"/>
      <sz val="10"/>
    </font>
    <font>
      <name val="Calibri"/>
      <color rgb="00C00000"/>
      <sz val="10"/>
    </font>
    <font>
      <name val="Calibri"/>
      <b val="1"/>
      <color rgb="00000000"/>
      <sz val="11"/>
    </font>
    <font>
      <name val="Calibri"/>
      <b val="1"/>
      <color rgb="00C00000"/>
      <sz val="11"/>
    </font>
    <font>
      <name val="Calibri"/>
      <b val="1"/>
      <color rgb="00006100"/>
      <sz val="9"/>
    </font>
    <font>
      <name val="Calibri"/>
      <b val="1"/>
      <color rgb="00000000"/>
      <sz val="9"/>
    </font>
    <font>
      <name val="Courier New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2" borderId="1" pivotButton="0" quotePrefix="0" xfId="0"/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0" fillId="7" borderId="1" pivotButton="0" quotePrefix="0" xfId="0"/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0" fillId="8" borderId="1" pivotButton="0" quotePrefix="0" xfId="0"/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9" borderId="1" pivotButton="0" quotePrefix="0" xfId="0"/>
    <xf numFmtId="0" fontId="2" fillId="9" borderId="1" applyAlignment="1" pivotButton="0" quotePrefix="0" xfId="0">
      <alignment horizontal="left" vertical="center"/>
    </xf>
    <xf numFmtId="164" fontId="2" fillId="9" borderId="1" applyAlignment="1" pivotButton="0" quotePrefix="0" xfId="0">
      <alignment horizontal="right" vertical="center"/>
    </xf>
    <xf numFmtId="165" fontId="2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166" fontId="10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0" fillId="3" borderId="1" pivotButton="0" quotePrefix="0" xfId="0"/>
    <xf numFmtId="1" fontId="2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1" fontId="2" fillId="9" borderId="1" applyAlignment="1" pivotButton="0" quotePrefix="0" xfId="0">
      <alignment horizontal="right" vertical="center"/>
    </xf>
    <xf numFmtId="167" fontId="2" fillId="9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167" fontId="5" fillId="9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  <xf numFmtId="0" fontId="11" fillId="9" borderId="1" pivotButton="0" quotePrefix="0" xfId="0"/>
    <xf numFmtId="164" fontId="5" fillId="9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6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6" fontId="12" fillId="5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right" vertical="center"/>
    </xf>
    <xf numFmtId="165" fontId="2" fillId="8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169" fontId="0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right" vertical="center"/>
    </xf>
    <xf numFmtId="169" fontId="0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" customWidth="1" min="4" max="4"/>
    <col width="3" customWidth="1" min="5" max="5"/>
    <col width="30" customWidth="1" min="6" max="6"/>
    <col width="16" customWidth="1" min="7" max="7"/>
    <col width="2" customWidth="1" min="8" max="8"/>
    <col width="28" customWidth="1" min="9" max="9"/>
    <col width="14" customWidth="1" min="10" max="10"/>
  </cols>
  <sheetData>
    <row r="1" ht="36" customHeight="1">
      <c r="A1" s="1" t="inlineStr">
        <is>
          <t>DASHBOARD ENJOYA — CONSOLIDADO 2025 / 2026</t>
        </is>
      </c>
    </row>
    <row r="2" ht="20" customHeight="1">
      <c r="A2" s="2" t="inlineStr">
        <is>
          <t>Actualizado: 21/05/2026  |  Régimen: RUS  |  Giro: Joyería petlover</t>
        </is>
      </c>
    </row>
    <row r="4" ht="20" customHeight="1">
      <c r="A4" s="3" t="inlineStr">
        <is>
          <t>📅  VENTAS POR MES</t>
        </is>
      </c>
      <c r="E4" s="3" t="inlineStr">
        <is>
          <t>💰  RESUMEN FINANCIERO</t>
        </is>
      </c>
      <c r="I4" s="3" t="inlineStr">
        <is>
          <t>📱  KPIs MARKETING ABR 2026</t>
        </is>
      </c>
    </row>
    <row r="5" ht="18" customHeight="1">
      <c r="A5" s="4" t="inlineStr">
        <is>
          <t>Mes</t>
        </is>
      </c>
      <c r="B5" s="4" t="inlineStr">
        <is>
          <t>Ingreso S/</t>
        </is>
      </c>
      <c r="C5" s="4" t="inlineStr">
        <is>
          <t>Acum. año S/</t>
        </is>
      </c>
      <c r="E5" s="5" t="inlineStr">
        <is>
          <t>Concepto</t>
        </is>
      </c>
      <c r="F5" s="5" t="inlineStr">
        <is>
          <t>Monto S/</t>
        </is>
      </c>
      <c r="G5" s="6" t="n"/>
      <c r="I5" s="7" t="inlineStr">
        <is>
          <t>KPI</t>
        </is>
      </c>
      <c r="J5" s="7" t="inlineStr">
        <is>
          <t>Valor</t>
        </is>
      </c>
    </row>
    <row r="6">
      <c r="A6" s="8" t="inlineStr">
        <is>
          <t>Ene 2025</t>
        </is>
      </c>
      <c r="B6" s="9" t="n">
        <v>1313</v>
      </c>
      <c r="C6" s="9" t="n">
        <v>1313</v>
      </c>
      <c r="E6" s="10" t="n"/>
      <c r="F6" s="11" t="inlineStr">
        <is>
          <t>Ingresos totales registrados</t>
        </is>
      </c>
      <c r="G6" s="12" t="n">
        <v>43186.9</v>
      </c>
      <c r="I6" s="8" t="inlineStr">
        <is>
          <t>Mensajes WhatsApp</t>
        </is>
      </c>
      <c r="J6" s="13" t="inlineStr">
        <is>
          <t>331</t>
        </is>
      </c>
    </row>
    <row r="7">
      <c r="A7" s="14" t="inlineStr">
        <is>
          <t>Feb 2025</t>
        </is>
      </c>
      <c r="B7" s="15" t="n">
        <v>4482.7</v>
      </c>
      <c r="C7" s="15" t="n">
        <v>5795.7</v>
      </c>
      <c r="E7" s="16" t="n"/>
      <c r="F7" s="17" t="inlineStr">
        <is>
          <t>Costos fijos mensuales</t>
        </is>
      </c>
      <c r="G7" s="18" t="n">
        <v>2797</v>
      </c>
      <c r="I7" s="14" t="inlineStr">
        <is>
          <t>Ventas cerradas</t>
        </is>
      </c>
      <c r="J7" s="19" t="inlineStr">
        <is>
          <t>8</t>
        </is>
      </c>
    </row>
    <row r="8">
      <c r="A8" s="8" t="inlineStr">
        <is>
          <t>Mar 2025</t>
        </is>
      </c>
      <c r="B8" s="9" t="n">
        <v>5034</v>
      </c>
      <c r="C8" s="9" t="n">
        <v>10829.7</v>
      </c>
      <c r="E8" s="20" t="n"/>
      <c r="F8" s="8" t="inlineStr">
        <is>
          <t>Ventas 2025 (ene-set)</t>
        </is>
      </c>
      <c r="G8" s="9" t="n">
        <v>24992.9</v>
      </c>
      <c r="I8" s="8" t="inlineStr">
        <is>
          <t>Ticket promedio</t>
        </is>
      </c>
      <c r="J8" s="13" t="inlineStr">
        <is>
          <t>S/ 277</t>
        </is>
      </c>
    </row>
    <row r="9">
      <c r="A9" s="14" t="inlineStr">
        <is>
          <t>Abr 2025</t>
        </is>
      </c>
      <c r="B9" s="15" t="n">
        <v>2699</v>
      </c>
      <c r="C9" s="15" t="n">
        <v>13528.7</v>
      </c>
      <c r="E9" s="20" t="n"/>
      <c r="F9" s="8" t="inlineStr">
        <is>
          <t>Ventas Oct 25 – Abr 26 (pedidos)</t>
        </is>
      </c>
      <c r="G9" s="9" t="n">
        <v>18194</v>
      </c>
      <c r="I9" s="14" t="inlineStr">
        <is>
          <t>Inversión Meta Ads</t>
        </is>
      </c>
      <c r="J9" s="19" t="inlineStr">
        <is>
          <t>S/ 590</t>
        </is>
      </c>
    </row>
    <row r="10">
      <c r="A10" s="8" t="inlineStr">
        <is>
          <t>May 2025</t>
        </is>
      </c>
      <c r="B10" s="9" t="n">
        <v>4543</v>
      </c>
      <c r="C10" s="9" t="n">
        <v>18071.7</v>
      </c>
      <c r="E10" s="21" t="n"/>
      <c r="F10" s="22" t="inlineStr">
        <is>
          <t>Promedio mensual 2026</t>
        </is>
      </c>
      <c r="G10" s="23" t="n">
        <v>1612</v>
      </c>
      <c r="I10" s="8" t="inlineStr">
        <is>
          <t>ROAS (retorno/S/1)</t>
        </is>
      </c>
      <c r="J10" s="13" t="inlineStr">
        <is>
          <t>4.22x</t>
        </is>
      </c>
    </row>
    <row r="11">
      <c r="A11" s="14" t="inlineStr">
        <is>
          <t>Jun 2025</t>
        </is>
      </c>
      <c r="B11" s="15" t="n">
        <v>3450.2</v>
      </c>
      <c r="C11" s="15" t="n">
        <v>21521.9</v>
      </c>
      <c r="E11" s="21" t="n"/>
      <c r="F11" s="22" t="inlineStr">
        <is>
          <t>Límite anual RUS</t>
        </is>
      </c>
      <c r="G11" s="23" t="n">
        <v>96000</v>
      </c>
      <c r="I11" s="14" t="inlineStr">
        <is>
          <t>Tasa de conversión</t>
        </is>
      </c>
      <c r="J11" s="19" t="inlineStr">
        <is>
          <t>2.4%</t>
        </is>
      </c>
    </row>
    <row r="12">
      <c r="A12" s="8" t="inlineStr">
        <is>
          <t>Jul 2025</t>
        </is>
      </c>
      <c r="B12" s="9" t="n">
        <v>3170</v>
      </c>
      <c r="C12" s="9" t="n">
        <v>24691.9</v>
      </c>
      <c r="E12" s="10" t="n"/>
      <c r="F12" s="11" t="inlineStr">
        <is>
          <t>Margen promedio CL01 (%)</t>
        </is>
      </c>
      <c r="G12" s="24" t="n">
        <v>48.6</v>
      </c>
      <c r="I12" s="8" t="inlineStr">
        <is>
          <t>Costo por venta</t>
        </is>
      </c>
      <c r="J12" s="13" t="inlineStr">
        <is>
          <t>S/ 74</t>
        </is>
      </c>
    </row>
    <row r="13">
      <c r="A13" s="14" t="inlineStr">
        <is>
          <t>Ago 2025</t>
        </is>
      </c>
      <c r="B13" s="15" t="n">
        <v>301</v>
      </c>
      <c r="C13" s="15" t="n">
        <v>24992.9</v>
      </c>
      <c r="E13" s="10" t="n"/>
      <c r="F13" s="11" t="inlineStr">
        <is>
          <t>Margen promedio CL02 (%)</t>
        </is>
      </c>
      <c r="G13" s="24" t="n">
        <v>49.9</v>
      </c>
    </row>
    <row r="14">
      <c r="A14" s="8" t="inlineStr">
        <is>
          <t>Set 2025</t>
        </is>
      </c>
      <c r="B14" s="9" t="n"/>
      <c r="C14" s="9" t="n">
        <v>24992.9</v>
      </c>
    </row>
    <row r="15" ht="20" customHeight="1">
      <c r="A15" s="14" t="inlineStr">
        <is>
          <t>Oct 2025</t>
        </is>
      </c>
      <c r="B15" s="15" t="n">
        <v>1719</v>
      </c>
      <c r="C15" s="15" t="n">
        <v>26711.9</v>
      </c>
      <c r="E15" s="3" t="inlineStr">
        <is>
          <t>🏛️  ESTADO FISCAL — RUS</t>
        </is>
      </c>
    </row>
    <row r="16">
      <c r="A16" s="8" t="inlineStr">
        <is>
          <t>Nov 2025</t>
        </is>
      </c>
      <c r="B16" s="9" t="n">
        <v>3270</v>
      </c>
      <c r="C16" s="9" t="n">
        <v>29981.9</v>
      </c>
      <c r="E16" s="21" t="n"/>
      <c r="F16" s="22" t="inlineStr">
        <is>
          <t>Ingresa a 'MMM' al superar</t>
        </is>
      </c>
      <c r="G16" s="25" t="inlineStr">
        <is>
          <t>S/ 96,000/año</t>
        </is>
      </c>
    </row>
    <row r="17">
      <c r="A17" s="14" t="inlineStr">
        <is>
          <t>Dic 2025</t>
        </is>
      </c>
      <c r="B17" s="15" t="n">
        <v>6757</v>
      </c>
      <c r="C17" s="15" t="n">
        <v>36738.9</v>
      </c>
      <c r="E17" s="21" t="n"/>
      <c r="F17" s="22" t="inlineStr">
        <is>
          <t>Cuota si ingresos &lt; S/5k/mes</t>
        </is>
      </c>
      <c r="G17" s="25" t="inlineStr">
        <is>
          <t>S/ 20/mes</t>
        </is>
      </c>
    </row>
    <row r="18">
      <c r="A18" s="26" t="inlineStr">
        <is>
          <t>Ene 2026</t>
        </is>
      </c>
      <c r="B18" s="9" t="n">
        <v>914</v>
      </c>
      <c r="C18" s="9" t="n">
        <v>914</v>
      </c>
      <c r="E18" s="21" t="n"/>
      <c r="F18" s="22" t="inlineStr">
        <is>
          <t>Cuota si ingresos S/5k-S/8k</t>
        </is>
      </c>
      <c r="G18" s="25" t="inlineStr">
        <is>
          <t>S/ 50/mes</t>
        </is>
      </c>
    </row>
    <row r="19">
      <c r="A19" s="27" t="inlineStr">
        <is>
          <t>Feb 2026</t>
        </is>
      </c>
      <c r="B19" s="15" t="n">
        <v>2314</v>
      </c>
      <c r="C19" s="15" t="n">
        <v>3228</v>
      </c>
      <c r="E19" s="10" t="n"/>
      <c r="F19" s="11" t="inlineStr">
        <is>
          <t>Promedio mensual 2026 actual</t>
        </is>
      </c>
      <c r="G19" s="28" t="inlineStr">
        <is>
          <t>S/ 1,612/mes</t>
        </is>
      </c>
    </row>
    <row r="20">
      <c r="A20" s="26" t="inlineStr">
        <is>
          <t>Mar 2026</t>
        </is>
      </c>
      <c r="B20" s="9" t="n">
        <v>2107</v>
      </c>
      <c r="C20" s="9" t="n">
        <v>5335</v>
      </c>
      <c r="E20" s="20" t="n"/>
      <c r="F20" s="8" t="inlineStr">
        <is>
          <t>IGV aplicable en RUS</t>
        </is>
      </c>
      <c r="G20" s="29" t="inlineStr">
        <is>
          <t>NO aplica</t>
        </is>
      </c>
    </row>
    <row r="21">
      <c r="A21" s="27" t="inlineStr">
        <is>
          <t>Abr 2026</t>
        </is>
      </c>
      <c r="B21" s="15" t="n">
        <v>1113</v>
      </c>
      <c r="C21" s="15" t="n">
        <v>6448</v>
      </c>
    </row>
    <row r="22">
      <c r="A22" s="30" t="inlineStr">
        <is>
          <t>TOTAL ACUMULADO</t>
        </is>
      </c>
      <c r="B22" s="31" t="n">
        <v>43186.9</v>
      </c>
      <c r="C22" s="6" t="n"/>
    </row>
  </sheetData>
  <mergeCells count="6">
    <mergeCell ref="I4:J4"/>
    <mergeCell ref="A2:I2"/>
    <mergeCell ref="A1:I1"/>
    <mergeCell ref="E4:G4"/>
    <mergeCell ref="A4:C4"/>
    <mergeCell ref="E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8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7" customWidth="1" min="3" max="3"/>
    <col width="15" customWidth="1" min="4" max="4"/>
    <col width="15" customWidth="1" min="5" max="5"/>
    <col width="22" customWidth="1" min="6" max="6"/>
    <col width="5" customWidth="1" min="7" max="7"/>
  </cols>
  <sheetData>
    <row r="1" ht="30" customHeight="1">
      <c r="A1" s="32" t="inlineStr">
        <is>
          <t>COSTEO DE PRODUCTOS — ENJOYA</t>
        </is>
      </c>
    </row>
    <row r="3" ht="20" customHeight="1">
      <c r="A3" s="3" t="inlineStr">
        <is>
          <t>RESUMEN — COSTOS Y MÁRGENES POR PRODUCTO ESTRELLA</t>
        </is>
      </c>
    </row>
    <row r="4" ht="18" customHeight="1">
      <c r="A4" s="4" t="inlineStr">
        <is>
          <t>Código</t>
        </is>
      </c>
      <c r="B4" s="4" t="inlineStr">
        <is>
          <t>Producto</t>
        </is>
      </c>
      <c r="C4" s="4" t="inlineStr">
        <is>
          <t>Costo Unit. S/</t>
        </is>
      </c>
      <c r="D4" s="4" t="inlineStr">
        <is>
          <t>Precio Venta S/</t>
        </is>
      </c>
      <c r="E4" s="4" t="inlineStr">
        <is>
          <t>Margen S/</t>
        </is>
      </c>
      <c r="F4" s="4" t="inlineStr">
        <is>
          <t>Margen %</t>
        </is>
      </c>
      <c r="G4" s="4" t="inlineStr">
        <is>
          <t>Unid. PE/mes</t>
        </is>
      </c>
    </row>
    <row r="5">
      <c r="A5" s="27" t="inlineStr">
        <is>
          <t>CL01</t>
        </is>
      </c>
      <c r="B5" s="14" t="inlineStr">
        <is>
          <t>Collar dije circular 1.5cm</t>
        </is>
      </c>
      <c r="C5" s="15" t="n">
        <v>76.66</v>
      </c>
      <c r="D5" s="15" t="n">
        <v>149</v>
      </c>
      <c r="E5" s="33" t="n">
        <v>72.34</v>
      </c>
      <c r="F5" s="34" t="n">
        <v>48.6</v>
      </c>
      <c r="G5" s="35" t="n">
        <v>38.7</v>
      </c>
    </row>
    <row r="6">
      <c r="A6" s="36" t="inlineStr">
        <is>
          <t>CL02</t>
        </is>
      </c>
      <c r="B6" s="11" t="inlineStr">
        <is>
          <t>Collar dije circular 2cm</t>
        </is>
      </c>
      <c r="C6" s="12" t="n">
        <v>84.66</v>
      </c>
      <c r="D6" s="12" t="n">
        <v>169</v>
      </c>
      <c r="E6" s="37" t="n">
        <v>84.34</v>
      </c>
      <c r="F6" s="24" t="n">
        <v>49.9</v>
      </c>
      <c r="G6" s="38" t="n">
        <v>33.2</v>
      </c>
    </row>
    <row r="7">
      <c r="A7" s="27" t="inlineStr">
        <is>
          <t>PL01</t>
        </is>
      </c>
      <c r="B7" s="14" t="inlineStr">
        <is>
          <t>Pulsera dije circular 2cm colgante</t>
        </is>
      </c>
      <c r="C7" s="15" t="n">
        <v>58.66</v>
      </c>
      <c r="D7" s="15" t="n">
        <v>89</v>
      </c>
      <c r="E7" s="33" t="n">
        <v>30.34</v>
      </c>
      <c r="F7" s="34" t="n">
        <v>34.1</v>
      </c>
      <c r="G7" s="35" t="n">
        <v>92.2</v>
      </c>
    </row>
    <row r="8">
      <c r="A8" s="36" t="inlineStr">
        <is>
          <t>PL07</t>
        </is>
      </c>
      <c r="B8" s="11" t="inlineStr">
        <is>
          <t>Pulsera hilo negro dije circular</t>
        </is>
      </c>
      <c r="C8" s="12" t="n">
        <v>70.66</v>
      </c>
      <c r="D8" s="12" t="n">
        <v>149</v>
      </c>
      <c r="E8" s="37" t="n">
        <v>78.34</v>
      </c>
      <c r="F8" s="24" t="n">
        <v>52.6</v>
      </c>
      <c r="G8" s="38" t="n">
        <v>35.7</v>
      </c>
    </row>
    <row r="9">
      <c r="A9" s="27" t="inlineStr">
        <is>
          <t>PL08</t>
        </is>
      </c>
      <c r="B9" s="14" t="inlineStr">
        <is>
          <t>Pulsera con cadena</t>
        </is>
      </c>
      <c r="C9" s="15" t="n">
        <v>74.66</v>
      </c>
      <c r="D9" s="15" t="n">
        <v>149</v>
      </c>
      <c r="E9" s="33" t="n">
        <v>74.34</v>
      </c>
      <c r="F9" s="34" t="n">
        <v>49.9</v>
      </c>
      <c r="G9" s="35" t="n">
        <v>37.6</v>
      </c>
    </row>
    <row r="10">
      <c r="A10" s="36" t="inlineStr">
        <is>
          <t>Huellita</t>
        </is>
      </c>
      <c r="B10" s="11" t="inlineStr">
        <is>
          <t>Pulsera Huellita (resina)</t>
        </is>
      </c>
      <c r="C10" s="12" t="n">
        <v>55.16</v>
      </c>
      <c r="D10" s="12" t="n">
        <v>89</v>
      </c>
      <c r="E10" s="37" t="n">
        <v>33.84</v>
      </c>
      <c r="F10" s="24" t="n">
        <v>38</v>
      </c>
      <c r="G10" s="38" t="n">
        <v>82.7</v>
      </c>
    </row>
    <row r="12" ht="20" customHeight="1">
      <c r="A12" s="39" t="inlineStr">
        <is>
          <t>▶  CL01 — Collar dije circular 1.5cm</t>
        </is>
      </c>
    </row>
    <row r="13" ht="18" customHeight="1">
      <c r="A13" s="4" t="inlineStr">
        <is>
          <t>Insumo / Componente</t>
        </is>
      </c>
      <c r="B13" s="4" t="inlineStr">
        <is>
          <t>Categoría</t>
        </is>
      </c>
      <c r="C13" s="4" t="inlineStr">
        <is>
          <t>Cant.</t>
        </is>
      </c>
      <c r="D13" s="4" t="inlineStr">
        <is>
          <t>Costo Unit. S/</t>
        </is>
      </c>
      <c r="E13" s="4" t="inlineStr">
        <is>
          <t>Costo Joya S/</t>
        </is>
      </c>
      <c r="F13" s="4" t="inlineStr">
        <is>
          <t>Tipo de Costo</t>
        </is>
      </c>
      <c r="G13" s="4" t="inlineStr"/>
    </row>
    <row r="14">
      <c r="A14" s="40" t="inlineStr">
        <is>
          <t>Dije plata 1.5cm</t>
        </is>
      </c>
      <c r="B14" s="41" t="inlineStr">
        <is>
          <t>MPD</t>
        </is>
      </c>
      <c r="C14" s="42" t="n">
        <v>1</v>
      </c>
      <c r="D14" s="43" t="n">
        <v>27</v>
      </c>
      <c r="E14" s="43" t="n">
        <v>27</v>
      </c>
      <c r="F14" s="40" t="inlineStr">
        <is>
          <t>Materia Prima Directa</t>
        </is>
      </c>
      <c r="G14" s="44" t="n"/>
    </row>
    <row r="15">
      <c r="A15" s="11" t="inlineStr">
        <is>
          <t>Diseño e Impresión</t>
        </is>
      </c>
      <c r="B15" s="28" t="inlineStr">
        <is>
          <t>MOD</t>
        </is>
      </c>
      <c r="C15" s="45" t="n">
        <v>1</v>
      </c>
      <c r="D15" s="46" t="n">
        <v>29</v>
      </c>
      <c r="E15" s="46" t="n">
        <v>29</v>
      </c>
      <c r="F15" s="11" t="inlineStr">
        <is>
          <t>Mano de Obra Directa</t>
        </is>
      </c>
      <c r="G15" s="10" t="n"/>
    </row>
    <row r="16">
      <c r="A16" s="40" t="inlineStr">
        <is>
          <t>Cadena Pancer</t>
        </is>
      </c>
      <c r="B16" s="41" t="inlineStr">
        <is>
          <t>MPD</t>
        </is>
      </c>
      <c r="C16" s="42" t="n">
        <v>1</v>
      </c>
      <c r="D16" s="43" t="n">
        <v>17</v>
      </c>
      <c r="E16" s="43" t="n">
        <v>17</v>
      </c>
      <c r="F16" s="40" t="inlineStr">
        <is>
          <t>Materia Prima Directa</t>
        </is>
      </c>
      <c r="G16" s="44" t="n"/>
    </row>
    <row r="17">
      <c r="A17" s="22" t="inlineStr">
        <is>
          <t>Empaque</t>
        </is>
      </c>
      <c r="B17" s="25" t="inlineStr">
        <is>
          <t>CIF</t>
        </is>
      </c>
      <c r="C17" s="47" t="n">
        <v>1</v>
      </c>
      <c r="D17" s="48" t="n">
        <v>3.5</v>
      </c>
      <c r="E17" s="48" t="n">
        <v>3.5</v>
      </c>
      <c r="F17" s="22" t="inlineStr">
        <is>
          <t>Costo Indirecto Fabr.</t>
        </is>
      </c>
      <c r="G17" s="21" t="n"/>
    </row>
    <row r="18">
      <c r="A18" s="22" t="inlineStr">
        <is>
          <t>Papel Film</t>
        </is>
      </c>
      <c r="B18" s="25" t="inlineStr">
        <is>
          <t>CIF</t>
        </is>
      </c>
      <c r="C18" s="47" t="n">
        <v>1</v>
      </c>
      <c r="D18" s="48" t="n">
        <v>0.08500000000000001</v>
      </c>
      <c r="E18" s="48" t="n">
        <v>0.08500000000000001</v>
      </c>
      <c r="F18" s="22" t="inlineStr">
        <is>
          <t>Costo Indirecto Fabr.</t>
        </is>
      </c>
      <c r="G18" s="21" t="n"/>
    </row>
    <row r="19">
      <c r="A19" s="22" t="inlineStr">
        <is>
          <t>Post It</t>
        </is>
      </c>
      <c r="B19" s="25" t="inlineStr">
        <is>
          <t>CIF</t>
        </is>
      </c>
      <c r="C19" s="47" t="n">
        <v>1</v>
      </c>
      <c r="D19" s="48" t="n">
        <v>0.075</v>
      </c>
      <c r="E19" s="48" t="n">
        <v>0.075</v>
      </c>
      <c r="F19" s="22" t="inlineStr">
        <is>
          <t>Costo Indirecto Fabr.</t>
        </is>
      </c>
      <c r="G19" s="21" t="n"/>
    </row>
    <row r="20">
      <c r="A20" s="49" t="inlineStr">
        <is>
          <t>Total MPD</t>
        </is>
      </c>
      <c r="B20" s="44" t="n"/>
      <c r="C20" s="44" t="n"/>
      <c r="D20" s="44" t="n"/>
      <c r="E20" s="50" t="n">
        <v>44</v>
      </c>
      <c r="F20" s="44" t="n"/>
      <c r="G20" s="44" t="n"/>
    </row>
    <row r="21">
      <c r="A21" s="36" t="inlineStr">
        <is>
          <t>Total MOD</t>
        </is>
      </c>
      <c r="B21" s="10" t="n"/>
      <c r="C21" s="10" t="n"/>
      <c r="D21" s="10" t="n"/>
      <c r="E21" s="51" t="n">
        <v>29</v>
      </c>
      <c r="F21" s="10" t="n"/>
      <c r="G21" s="10" t="n"/>
    </row>
    <row r="22">
      <c r="A22" s="52" t="inlineStr">
        <is>
          <t>Total CIF</t>
        </is>
      </c>
      <c r="B22" s="21" t="n"/>
      <c r="C22" s="21" t="n"/>
      <c r="D22" s="21" t="n"/>
      <c r="E22" s="53" t="n">
        <v>3.66</v>
      </c>
      <c r="F22" s="21" t="n"/>
      <c r="G22" s="21" t="n"/>
    </row>
    <row r="23">
      <c r="A23" s="30" t="inlineStr">
        <is>
          <t>COSTO UNITARIO TOTAL</t>
        </is>
      </c>
      <c r="B23" s="6" t="n"/>
      <c r="C23" s="6" t="n"/>
      <c r="D23" s="6" t="n"/>
      <c r="E23" s="54" t="n">
        <v>76.66</v>
      </c>
      <c r="F23" s="6" t="n"/>
      <c r="G23" s="6" t="n"/>
    </row>
    <row r="25" ht="20" customHeight="1">
      <c r="A25" s="39" t="inlineStr">
        <is>
          <t>▶  CL02 — Collar dije circular 2cm</t>
        </is>
      </c>
    </row>
    <row r="26" ht="18" customHeight="1">
      <c r="A26" s="4" t="inlineStr">
        <is>
          <t>Insumo / Componente</t>
        </is>
      </c>
      <c r="B26" s="4" t="inlineStr">
        <is>
          <t>Categoría</t>
        </is>
      </c>
      <c r="C26" s="4" t="inlineStr">
        <is>
          <t>Cant.</t>
        </is>
      </c>
      <c r="D26" s="4" t="inlineStr">
        <is>
          <t>Costo Unit. S/</t>
        </is>
      </c>
      <c r="E26" s="4" t="inlineStr">
        <is>
          <t>Costo Joya S/</t>
        </is>
      </c>
      <c r="F26" s="4" t="inlineStr">
        <is>
          <t>Tipo de Costo</t>
        </is>
      </c>
      <c r="G26" s="4" t="inlineStr"/>
    </row>
    <row r="27">
      <c r="A27" s="40" t="inlineStr">
        <is>
          <t>Dije plata 2cm</t>
        </is>
      </c>
      <c r="B27" s="41" t="inlineStr">
        <is>
          <t>MPD</t>
        </is>
      </c>
      <c r="C27" s="42" t="n">
        <v>1</v>
      </c>
      <c r="D27" s="43" t="n">
        <v>36</v>
      </c>
      <c r="E27" s="43" t="n">
        <v>36</v>
      </c>
      <c r="F27" s="40" t="inlineStr">
        <is>
          <t>Materia Prima Directa</t>
        </is>
      </c>
      <c r="G27" s="44" t="n"/>
    </row>
    <row r="28">
      <c r="A28" s="11" t="inlineStr">
        <is>
          <t>Diseño</t>
        </is>
      </c>
      <c r="B28" s="28" t="inlineStr">
        <is>
          <t>MOD</t>
        </is>
      </c>
      <c r="C28" s="45" t="n">
        <v>1</v>
      </c>
      <c r="D28" s="46" t="n">
        <v>20</v>
      </c>
      <c r="E28" s="46" t="n">
        <v>20</v>
      </c>
      <c r="F28" s="11" t="inlineStr">
        <is>
          <t>Mano de Obra Directa</t>
        </is>
      </c>
      <c r="G28" s="10" t="n"/>
    </row>
    <row r="29">
      <c r="A29" s="11" t="inlineStr">
        <is>
          <t>Impresión</t>
        </is>
      </c>
      <c r="B29" s="28" t="inlineStr">
        <is>
          <t>MOD</t>
        </is>
      </c>
      <c r="C29" s="45" t="n">
        <v>1</v>
      </c>
      <c r="D29" s="46" t="n">
        <v>8</v>
      </c>
      <c r="E29" s="46" t="n">
        <v>8</v>
      </c>
      <c r="F29" s="11" t="inlineStr">
        <is>
          <t>Mano de Obra Directa</t>
        </is>
      </c>
      <c r="G29" s="10" t="n"/>
    </row>
    <row r="30">
      <c r="A30" s="40" t="inlineStr">
        <is>
          <t>Cadena Pancer</t>
        </is>
      </c>
      <c r="B30" s="41" t="inlineStr">
        <is>
          <t>MPD</t>
        </is>
      </c>
      <c r="C30" s="42" t="n">
        <v>1</v>
      </c>
      <c r="D30" s="43" t="n">
        <v>17</v>
      </c>
      <c r="E30" s="43" t="n">
        <v>17</v>
      </c>
      <c r="F30" s="40" t="inlineStr">
        <is>
          <t>Materia Prima Directa</t>
        </is>
      </c>
      <c r="G30" s="44" t="n"/>
    </row>
    <row r="31">
      <c r="A31" s="22" t="inlineStr">
        <is>
          <t>Empaque</t>
        </is>
      </c>
      <c r="B31" s="25" t="inlineStr">
        <is>
          <t>CIF</t>
        </is>
      </c>
      <c r="C31" s="47" t="n">
        <v>1</v>
      </c>
      <c r="D31" s="48" t="n">
        <v>3.5</v>
      </c>
      <c r="E31" s="48" t="n">
        <v>3.5</v>
      </c>
      <c r="F31" s="22" t="inlineStr">
        <is>
          <t>Costo Indirecto Fabr.</t>
        </is>
      </c>
      <c r="G31" s="21" t="n"/>
    </row>
    <row r="32">
      <c r="A32" s="22" t="inlineStr">
        <is>
          <t>Papel Film</t>
        </is>
      </c>
      <c r="B32" s="25" t="inlineStr">
        <is>
          <t>CIF</t>
        </is>
      </c>
      <c r="C32" s="47" t="n">
        <v>1</v>
      </c>
      <c r="D32" s="48" t="n">
        <v>0.08500000000000001</v>
      </c>
      <c r="E32" s="48" t="n">
        <v>0.08500000000000001</v>
      </c>
      <c r="F32" s="22" t="inlineStr">
        <is>
          <t>Costo Indirecto Fabr.</t>
        </is>
      </c>
      <c r="G32" s="21" t="n"/>
    </row>
    <row r="33">
      <c r="A33" s="22" t="inlineStr">
        <is>
          <t>Post It</t>
        </is>
      </c>
      <c r="B33" s="25" t="inlineStr">
        <is>
          <t>CIF</t>
        </is>
      </c>
      <c r="C33" s="47" t="n">
        <v>1</v>
      </c>
      <c r="D33" s="48" t="n">
        <v>0.075</v>
      </c>
      <c r="E33" s="48" t="n">
        <v>0.075</v>
      </c>
      <c r="F33" s="22" t="inlineStr">
        <is>
          <t>Costo Indirecto Fabr.</t>
        </is>
      </c>
      <c r="G33" s="21" t="n"/>
    </row>
    <row r="34">
      <c r="A34" s="49" t="inlineStr">
        <is>
          <t>Total MPD</t>
        </is>
      </c>
      <c r="B34" s="44" t="n"/>
      <c r="C34" s="44" t="n"/>
      <c r="D34" s="44" t="n"/>
      <c r="E34" s="50" t="n">
        <v>53</v>
      </c>
      <c r="F34" s="44" t="n"/>
      <c r="G34" s="44" t="n"/>
    </row>
    <row r="35">
      <c r="A35" s="36" t="inlineStr">
        <is>
          <t>Total MOD</t>
        </is>
      </c>
      <c r="B35" s="10" t="n"/>
      <c r="C35" s="10" t="n"/>
      <c r="D35" s="10" t="n"/>
      <c r="E35" s="51" t="n">
        <v>28</v>
      </c>
      <c r="F35" s="10" t="n"/>
      <c r="G35" s="10" t="n"/>
    </row>
    <row r="36">
      <c r="A36" s="52" t="inlineStr">
        <is>
          <t>Total CIF</t>
        </is>
      </c>
      <c r="B36" s="21" t="n"/>
      <c r="C36" s="21" t="n"/>
      <c r="D36" s="21" t="n"/>
      <c r="E36" s="53" t="n">
        <v>3.66</v>
      </c>
      <c r="F36" s="21" t="n"/>
      <c r="G36" s="21" t="n"/>
    </row>
    <row r="37">
      <c r="A37" s="30" t="inlineStr">
        <is>
          <t>COSTO UNITARIO TOTAL</t>
        </is>
      </c>
      <c r="B37" s="6" t="n"/>
      <c r="C37" s="6" t="n"/>
      <c r="D37" s="6" t="n"/>
      <c r="E37" s="54" t="n">
        <v>84.66</v>
      </c>
      <c r="F37" s="6" t="n"/>
      <c r="G37" s="6" t="n"/>
    </row>
    <row r="39" ht="20" customHeight="1">
      <c r="A39" s="39" t="inlineStr">
        <is>
          <t>▶  PL01 — Pulsera dije circular 2cm colgante</t>
        </is>
      </c>
    </row>
    <row r="40" ht="18" customHeight="1">
      <c r="A40" s="4" t="inlineStr">
        <is>
          <t>Insumo / Componente</t>
        </is>
      </c>
      <c r="B40" s="4" t="inlineStr">
        <is>
          <t>Categoría</t>
        </is>
      </c>
      <c r="C40" s="4" t="inlineStr">
        <is>
          <t>Cant.</t>
        </is>
      </c>
      <c r="D40" s="4" t="inlineStr">
        <is>
          <t>Costo Unit. S/</t>
        </is>
      </c>
      <c r="E40" s="4" t="inlineStr">
        <is>
          <t>Costo Joya S/</t>
        </is>
      </c>
      <c r="F40" s="4" t="inlineStr">
        <is>
          <t>Tipo de Costo</t>
        </is>
      </c>
      <c r="G40" s="4" t="inlineStr"/>
    </row>
    <row r="41">
      <c r="A41" s="40" t="inlineStr">
        <is>
          <t>Dije</t>
        </is>
      </c>
      <c r="B41" s="41" t="inlineStr">
        <is>
          <t>MPD</t>
        </is>
      </c>
      <c r="C41" s="42" t="n">
        <v>1</v>
      </c>
      <c r="D41" s="43" t="n">
        <v>18</v>
      </c>
      <c r="E41" s="43" t="n">
        <v>18</v>
      </c>
      <c r="F41" s="40" t="inlineStr">
        <is>
          <t>Materia Prima Directa</t>
        </is>
      </c>
      <c r="G41" s="44" t="n"/>
    </row>
    <row r="42">
      <c r="A42" s="11" t="inlineStr">
        <is>
          <t>Diseño e Impresión</t>
        </is>
      </c>
      <c r="B42" s="28" t="inlineStr">
        <is>
          <t>MOD</t>
        </is>
      </c>
      <c r="C42" s="45" t="n">
        <v>1</v>
      </c>
      <c r="D42" s="46" t="n">
        <v>29</v>
      </c>
      <c r="E42" s="46" t="n">
        <v>29</v>
      </c>
      <c r="F42" s="11" t="inlineStr">
        <is>
          <t>Mano de Obra Directa</t>
        </is>
      </c>
      <c r="G42" s="10" t="n"/>
    </row>
    <row r="43">
      <c r="A43" s="11" t="inlineStr">
        <is>
          <t>Tejido hilo + MO</t>
        </is>
      </c>
      <c r="B43" s="28" t="inlineStr">
        <is>
          <t>MOD</t>
        </is>
      </c>
      <c r="C43" s="45" t="n">
        <v>1</v>
      </c>
      <c r="D43" s="46" t="n">
        <v>8</v>
      </c>
      <c r="E43" s="46" t="n">
        <v>8</v>
      </c>
      <c r="F43" s="11" t="inlineStr">
        <is>
          <t>Mano de Obra Directa</t>
        </is>
      </c>
      <c r="G43" s="10" t="n"/>
    </row>
    <row r="44">
      <c r="A44" s="22" t="inlineStr">
        <is>
          <t>Empaque</t>
        </is>
      </c>
      <c r="B44" s="25" t="inlineStr">
        <is>
          <t>CIF</t>
        </is>
      </c>
      <c r="C44" s="47" t="n">
        <v>1</v>
      </c>
      <c r="D44" s="48" t="n">
        <v>3.5</v>
      </c>
      <c r="E44" s="48" t="n">
        <v>3.5</v>
      </c>
      <c r="F44" s="22" t="inlineStr">
        <is>
          <t>Costo Indirecto Fabr.</t>
        </is>
      </c>
      <c r="G44" s="21" t="n"/>
    </row>
    <row r="45">
      <c r="A45" s="22" t="inlineStr">
        <is>
          <t>Papel Film</t>
        </is>
      </c>
      <c r="B45" s="25" t="inlineStr">
        <is>
          <t>CIF</t>
        </is>
      </c>
      <c r="C45" s="47" t="n">
        <v>1</v>
      </c>
      <c r="D45" s="48" t="n">
        <v>0.08500000000000001</v>
      </c>
      <c r="E45" s="48" t="n">
        <v>0.08500000000000001</v>
      </c>
      <c r="F45" s="22" t="inlineStr">
        <is>
          <t>Costo Indirecto Fabr.</t>
        </is>
      </c>
      <c r="G45" s="21" t="n"/>
    </row>
    <row r="46">
      <c r="A46" s="22" t="inlineStr">
        <is>
          <t>Post It</t>
        </is>
      </c>
      <c r="B46" s="25" t="inlineStr">
        <is>
          <t>CIF</t>
        </is>
      </c>
      <c r="C46" s="47" t="n">
        <v>1</v>
      </c>
      <c r="D46" s="48" t="n">
        <v>0.075</v>
      </c>
      <c r="E46" s="48" t="n">
        <v>0.075</v>
      </c>
      <c r="F46" s="22" t="inlineStr">
        <is>
          <t>Costo Indirecto Fabr.</t>
        </is>
      </c>
      <c r="G46" s="21" t="n"/>
    </row>
    <row r="47">
      <c r="A47" s="49" t="inlineStr">
        <is>
          <t>Total MPD</t>
        </is>
      </c>
      <c r="B47" s="44" t="n"/>
      <c r="C47" s="44" t="n"/>
      <c r="D47" s="44" t="n"/>
      <c r="E47" s="50" t="n">
        <v>18</v>
      </c>
      <c r="F47" s="44" t="n"/>
      <c r="G47" s="44" t="n"/>
    </row>
    <row r="48">
      <c r="A48" s="36" t="inlineStr">
        <is>
          <t>Total MOD</t>
        </is>
      </c>
      <c r="B48" s="10" t="n"/>
      <c r="C48" s="10" t="n"/>
      <c r="D48" s="10" t="n"/>
      <c r="E48" s="51" t="n">
        <v>37</v>
      </c>
      <c r="F48" s="10" t="n"/>
      <c r="G48" s="10" t="n"/>
    </row>
    <row r="49">
      <c r="A49" s="52" t="inlineStr">
        <is>
          <t>Total CIF</t>
        </is>
      </c>
      <c r="B49" s="21" t="n"/>
      <c r="C49" s="21" t="n"/>
      <c r="D49" s="21" t="n"/>
      <c r="E49" s="53" t="n">
        <v>3.66</v>
      </c>
      <c r="F49" s="21" t="n"/>
      <c r="G49" s="21" t="n"/>
    </row>
    <row r="50">
      <c r="A50" s="30" t="inlineStr">
        <is>
          <t>COSTO UNITARIO TOTAL</t>
        </is>
      </c>
      <c r="B50" s="6" t="n"/>
      <c r="C50" s="6" t="n"/>
      <c r="D50" s="6" t="n"/>
      <c r="E50" s="54" t="n">
        <v>58.66</v>
      </c>
      <c r="F50" s="6" t="n"/>
      <c r="G50" s="6" t="n"/>
    </row>
    <row r="52" ht="20" customHeight="1">
      <c r="A52" s="39" t="inlineStr">
        <is>
          <t>▶  PL07 — Pulsera hilo negro dije circular</t>
        </is>
      </c>
    </row>
    <row r="53" ht="18" customHeight="1">
      <c r="A53" s="4" t="inlineStr">
        <is>
          <t>Insumo / Componente</t>
        </is>
      </c>
      <c r="B53" s="4" t="inlineStr">
        <is>
          <t>Categoría</t>
        </is>
      </c>
      <c r="C53" s="4" t="inlineStr">
        <is>
          <t>Cant.</t>
        </is>
      </c>
      <c r="D53" s="4" t="inlineStr">
        <is>
          <t>Costo Unit. S/</t>
        </is>
      </c>
      <c r="E53" s="4" t="inlineStr">
        <is>
          <t>Costo Joya S/</t>
        </is>
      </c>
      <c r="F53" s="4" t="inlineStr">
        <is>
          <t>Tipo de Costo</t>
        </is>
      </c>
      <c r="G53" s="4" t="inlineStr"/>
    </row>
    <row r="54">
      <c r="A54" s="40" t="inlineStr">
        <is>
          <t>Dije</t>
        </is>
      </c>
      <c r="B54" s="41" t="inlineStr">
        <is>
          <t>MPD</t>
        </is>
      </c>
      <c r="C54" s="42" t="n">
        <v>1</v>
      </c>
      <c r="D54" s="43" t="n">
        <v>31</v>
      </c>
      <c r="E54" s="43" t="n">
        <v>31</v>
      </c>
      <c r="F54" s="40" t="inlineStr">
        <is>
          <t>Materia Prima Directa</t>
        </is>
      </c>
      <c r="G54" s="44" t="n"/>
    </row>
    <row r="55">
      <c r="A55" s="11" t="inlineStr">
        <is>
          <t>Diseño e Impresión</t>
        </is>
      </c>
      <c r="B55" s="28" t="inlineStr">
        <is>
          <t>MOD</t>
        </is>
      </c>
      <c r="C55" s="45" t="n">
        <v>1</v>
      </c>
      <c r="D55" s="46" t="n">
        <v>24</v>
      </c>
      <c r="E55" s="46" t="n">
        <v>24</v>
      </c>
      <c r="F55" s="11" t="inlineStr">
        <is>
          <t>Mano de Obra Directa</t>
        </is>
      </c>
      <c r="G55" s="10" t="n"/>
    </row>
    <row r="56">
      <c r="A56" s="11" t="inlineStr">
        <is>
          <t>Tejido cuerina + MO</t>
        </is>
      </c>
      <c r="B56" s="28" t="inlineStr">
        <is>
          <t>MOD</t>
        </is>
      </c>
      <c r="C56" s="45" t="n">
        <v>1</v>
      </c>
      <c r="D56" s="46" t="n">
        <v>12</v>
      </c>
      <c r="E56" s="46" t="n">
        <v>12</v>
      </c>
      <c r="F56" s="11" t="inlineStr">
        <is>
          <t>Mano de Obra Directa</t>
        </is>
      </c>
      <c r="G56" s="10" t="n"/>
    </row>
    <row r="57">
      <c r="A57" s="22" t="inlineStr">
        <is>
          <t>Empaque</t>
        </is>
      </c>
      <c r="B57" s="25" t="inlineStr">
        <is>
          <t>CIF</t>
        </is>
      </c>
      <c r="C57" s="47" t="n">
        <v>1</v>
      </c>
      <c r="D57" s="48" t="n">
        <v>3.5</v>
      </c>
      <c r="E57" s="48" t="n">
        <v>3.5</v>
      </c>
      <c r="F57" s="22" t="inlineStr">
        <is>
          <t>Costo Indirecto Fabr.</t>
        </is>
      </c>
      <c r="G57" s="21" t="n"/>
    </row>
    <row r="58">
      <c r="A58" s="22" t="inlineStr">
        <is>
          <t>Papel Film</t>
        </is>
      </c>
      <c r="B58" s="25" t="inlineStr">
        <is>
          <t>CIF</t>
        </is>
      </c>
      <c r="C58" s="47" t="n">
        <v>1</v>
      </c>
      <c r="D58" s="48" t="n">
        <v>0.08500000000000001</v>
      </c>
      <c r="E58" s="48" t="n">
        <v>0.08500000000000001</v>
      </c>
      <c r="F58" s="22" t="inlineStr">
        <is>
          <t>Costo Indirecto Fabr.</t>
        </is>
      </c>
      <c r="G58" s="21" t="n"/>
    </row>
    <row r="59">
      <c r="A59" s="22" t="inlineStr">
        <is>
          <t>Post It</t>
        </is>
      </c>
      <c r="B59" s="25" t="inlineStr">
        <is>
          <t>CIF</t>
        </is>
      </c>
      <c r="C59" s="47" t="n">
        <v>1</v>
      </c>
      <c r="D59" s="48" t="n">
        <v>0.075</v>
      </c>
      <c r="E59" s="48" t="n">
        <v>0.075</v>
      </c>
      <c r="F59" s="22" t="inlineStr">
        <is>
          <t>Costo Indirecto Fabr.</t>
        </is>
      </c>
      <c r="G59" s="21" t="n"/>
    </row>
    <row r="60">
      <c r="A60" s="49" t="inlineStr">
        <is>
          <t>Total MPD</t>
        </is>
      </c>
      <c r="B60" s="44" t="n"/>
      <c r="C60" s="44" t="n"/>
      <c r="D60" s="44" t="n"/>
      <c r="E60" s="50" t="n">
        <v>31</v>
      </c>
      <c r="F60" s="44" t="n"/>
      <c r="G60" s="44" t="n"/>
    </row>
    <row r="61">
      <c r="A61" s="36" t="inlineStr">
        <is>
          <t>Total MOD</t>
        </is>
      </c>
      <c r="B61" s="10" t="n"/>
      <c r="C61" s="10" t="n"/>
      <c r="D61" s="10" t="n"/>
      <c r="E61" s="51" t="n">
        <v>36</v>
      </c>
      <c r="F61" s="10" t="n"/>
      <c r="G61" s="10" t="n"/>
    </row>
    <row r="62">
      <c r="A62" s="52" t="inlineStr">
        <is>
          <t>Total CIF</t>
        </is>
      </c>
      <c r="B62" s="21" t="n"/>
      <c r="C62" s="21" t="n"/>
      <c r="D62" s="21" t="n"/>
      <c r="E62" s="53" t="n">
        <v>3.66</v>
      </c>
      <c r="F62" s="21" t="n"/>
      <c r="G62" s="21" t="n"/>
    </row>
    <row r="63">
      <c r="A63" s="30" t="inlineStr">
        <is>
          <t>COSTO UNITARIO TOTAL</t>
        </is>
      </c>
      <c r="B63" s="6" t="n"/>
      <c r="C63" s="6" t="n"/>
      <c r="D63" s="6" t="n"/>
      <c r="E63" s="54" t="n">
        <v>70.66</v>
      </c>
      <c r="F63" s="6" t="n"/>
      <c r="G63" s="6" t="n"/>
    </row>
    <row r="65" ht="20" customHeight="1">
      <c r="A65" s="39" t="inlineStr">
        <is>
          <t>▶  PL08 — Pulsera con cadena</t>
        </is>
      </c>
    </row>
    <row r="66" ht="18" customHeight="1">
      <c r="A66" s="4" t="inlineStr">
        <is>
          <t>Insumo / Componente</t>
        </is>
      </c>
      <c r="B66" s="4" t="inlineStr">
        <is>
          <t>Categoría</t>
        </is>
      </c>
      <c r="C66" s="4" t="inlineStr">
        <is>
          <t>Cant.</t>
        </is>
      </c>
      <c r="D66" s="4" t="inlineStr">
        <is>
          <t>Costo Unit. S/</t>
        </is>
      </c>
      <c r="E66" s="4" t="inlineStr">
        <is>
          <t>Costo Joya S/</t>
        </is>
      </c>
      <c r="F66" s="4" t="inlineStr">
        <is>
          <t>Tipo de Costo</t>
        </is>
      </c>
      <c r="G66" s="4" t="inlineStr"/>
    </row>
    <row r="67">
      <c r="A67" s="40" t="inlineStr">
        <is>
          <t>Dije</t>
        </is>
      </c>
      <c r="B67" s="41" t="inlineStr">
        <is>
          <t>MPD</t>
        </is>
      </c>
      <c r="C67" s="42" t="n">
        <v>1</v>
      </c>
      <c r="D67" s="43" t="n">
        <v>30</v>
      </c>
      <c r="E67" s="43" t="n">
        <v>30</v>
      </c>
      <c r="F67" s="40" t="inlineStr">
        <is>
          <t>Materia Prima Directa</t>
        </is>
      </c>
      <c r="G67" s="44" t="n"/>
    </row>
    <row r="68">
      <c r="A68" s="11" t="inlineStr">
        <is>
          <t>Diseño e Impresión</t>
        </is>
      </c>
      <c r="B68" s="28" t="inlineStr">
        <is>
          <t>MOD</t>
        </is>
      </c>
      <c r="C68" s="45" t="n">
        <v>1</v>
      </c>
      <c r="D68" s="46" t="n">
        <v>24</v>
      </c>
      <c r="E68" s="46" t="n">
        <v>24</v>
      </c>
      <c r="F68" s="11" t="inlineStr">
        <is>
          <t>Mano de Obra Directa</t>
        </is>
      </c>
      <c r="G68" s="10" t="n"/>
    </row>
    <row r="69">
      <c r="A69" s="40" t="inlineStr">
        <is>
          <t>Cadena</t>
        </is>
      </c>
      <c r="B69" s="41" t="inlineStr">
        <is>
          <t>MPD</t>
        </is>
      </c>
      <c r="C69" s="42" t="n">
        <v>1</v>
      </c>
      <c r="D69" s="43" t="n">
        <v>17</v>
      </c>
      <c r="E69" s="43" t="n">
        <v>17</v>
      </c>
      <c r="F69" s="40" t="inlineStr">
        <is>
          <t>Materia Prima Directa</t>
        </is>
      </c>
      <c r="G69" s="44" t="n"/>
    </row>
    <row r="70">
      <c r="A70" s="22" t="inlineStr">
        <is>
          <t>Empaque</t>
        </is>
      </c>
      <c r="B70" s="25" t="inlineStr">
        <is>
          <t>CIF</t>
        </is>
      </c>
      <c r="C70" s="47" t="n">
        <v>1</v>
      </c>
      <c r="D70" s="48" t="n">
        <v>3.5</v>
      </c>
      <c r="E70" s="48" t="n">
        <v>3.5</v>
      </c>
      <c r="F70" s="22" t="inlineStr">
        <is>
          <t>Costo Indirecto Fabr.</t>
        </is>
      </c>
      <c r="G70" s="21" t="n"/>
    </row>
    <row r="71">
      <c r="A71" s="22" t="inlineStr">
        <is>
          <t>Papel Film</t>
        </is>
      </c>
      <c r="B71" s="25" t="inlineStr">
        <is>
          <t>CIF</t>
        </is>
      </c>
      <c r="C71" s="47" t="n">
        <v>1</v>
      </c>
      <c r="D71" s="48" t="n">
        <v>0.08500000000000001</v>
      </c>
      <c r="E71" s="48" t="n">
        <v>0.08500000000000001</v>
      </c>
      <c r="F71" s="22" t="inlineStr">
        <is>
          <t>Costo Indirecto Fabr.</t>
        </is>
      </c>
      <c r="G71" s="21" t="n"/>
    </row>
    <row r="72">
      <c r="A72" s="22" t="inlineStr">
        <is>
          <t>Post It</t>
        </is>
      </c>
      <c r="B72" s="25" t="inlineStr">
        <is>
          <t>CIF</t>
        </is>
      </c>
      <c r="C72" s="47" t="n">
        <v>1</v>
      </c>
      <c r="D72" s="48" t="n">
        <v>0.075</v>
      </c>
      <c r="E72" s="48" t="n">
        <v>0.075</v>
      </c>
      <c r="F72" s="22" t="inlineStr">
        <is>
          <t>Costo Indirecto Fabr.</t>
        </is>
      </c>
      <c r="G72" s="21" t="n"/>
    </row>
    <row r="73">
      <c r="A73" s="49" t="inlineStr">
        <is>
          <t>Total MPD</t>
        </is>
      </c>
      <c r="B73" s="44" t="n"/>
      <c r="C73" s="44" t="n"/>
      <c r="D73" s="44" t="n"/>
      <c r="E73" s="50" t="n">
        <v>47</v>
      </c>
      <c r="F73" s="44" t="n"/>
      <c r="G73" s="44" t="n"/>
    </row>
    <row r="74">
      <c r="A74" s="36" t="inlineStr">
        <is>
          <t>Total MOD</t>
        </is>
      </c>
      <c r="B74" s="10" t="n"/>
      <c r="C74" s="10" t="n"/>
      <c r="D74" s="10" t="n"/>
      <c r="E74" s="51" t="n">
        <v>24</v>
      </c>
      <c r="F74" s="10" t="n"/>
      <c r="G74" s="10" t="n"/>
    </row>
    <row r="75">
      <c r="A75" s="52" t="inlineStr">
        <is>
          <t>Total CIF</t>
        </is>
      </c>
      <c r="B75" s="21" t="n"/>
      <c r="C75" s="21" t="n"/>
      <c r="D75" s="21" t="n"/>
      <c r="E75" s="53" t="n">
        <v>3.66</v>
      </c>
      <c r="F75" s="21" t="n"/>
      <c r="G75" s="21" t="n"/>
    </row>
    <row r="76">
      <c r="A76" s="30" t="inlineStr">
        <is>
          <t>COSTO UNITARIO TOTAL</t>
        </is>
      </c>
      <c r="B76" s="6" t="n"/>
      <c r="C76" s="6" t="n"/>
      <c r="D76" s="6" t="n"/>
      <c r="E76" s="54" t="n">
        <v>74.66</v>
      </c>
      <c r="F76" s="6" t="n"/>
      <c r="G76" s="6" t="n"/>
    </row>
    <row r="78" ht="20" customHeight="1">
      <c r="A78" s="39" t="inlineStr">
        <is>
          <t>▶  Huellita — Pulsera Huellita (resina)</t>
        </is>
      </c>
    </row>
    <row r="79" ht="18" customHeight="1">
      <c r="A79" s="4" t="inlineStr">
        <is>
          <t>Insumo / Componente</t>
        </is>
      </c>
      <c r="B79" s="4" t="inlineStr">
        <is>
          <t>Categoría</t>
        </is>
      </c>
      <c r="C79" s="4" t="inlineStr">
        <is>
          <t>Cant.</t>
        </is>
      </c>
      <c r="D79" s="4" t="inlineStr">
        <is>
          <t>Costo Unit. S/</t>
        </is>
      </c>
      <c r="E79" s="4" t="inlineStr">
        <is>
          <t>Costo Joya S/</t>
        </is>
      </c>
      <c r="F79" s="4" t="inlineStr">
        <is>
          <t>Tipo de Costo</t>
        </is>
      </c>
      <c r="G79" s="4" t="inlineStr"/>
    </row>
    <row r="80">
      <c r="A80" s="40" t="inlineStr">
        <is>
          <t>Dije plata</t>
        </is>
      </c>
      <c r="B80" s="41" t="inlineStr">
        <is>
          <t>MPD</t>
        </is>
      </c>
      <c r="C80" s="42" t="n">
        <v>1</v>
      </c>
      <c r="D80" s="43" t="n">
        <v>30</v>
      </c>
      <c r="E80" s="43" t="n">
        <v>30</v>
      </c>
      <c r="F80" s="40" t="inlineStr">
        <is>
          <t>Materia Prima Directa</t>
        </is>
      </c>
      <c r="G80" s="44" t="n"/>
    </row>
    <row r="81">
      <c r="A81" s="11" t="inlineStr">
        <is>
          <t>Diseño e Impresión</t>
        </is>
      </c>
      <c r="B81" s="28" t="inlineStr">
        <is>
          <t>MOD</t>
        </is>
      </c>
      <c r="C81" s="45" t="n">
        <v>1</v>
      </c>
      <c r="D81" s="46" t="n">
        <v>15.5</v>
      </c>
      <c r="E81" s="46" t="n">
        <v>15.5</v>
      </c>
      <c r="F81" s="11" t="inlineStr">
        <is>
          <t>Mano de Obra Directa</t>
        </is>
      </c>
      <c r="G81" s="10" t="n"/>
    </row>
    <row r="82">
      <c r="A82" s="11" t="inlineStr">
        <is>
          <t>Tejido hilo + MO</t>
        </is>
      </c>
      <c r="B82" s="28" t="inlineStr">
        <is>
          <t>MOD</t>
        </is>
      </c>
      <c r="C82" s="45" t="n">
        <v>1</v>
      </c>
      <c r="D82" s="46" t="n">
        <v>8</v>
      </c>
      <c r="E82" s="46" t="n">
        <v>8</v>
      </c>
      <c r="F82" s="11" t="inlineStr">
        <is>
          <t>Mano de Obra Directa</t>
        </is>
      </c>
      <c r="G82" s="10" t="n"/>
    </row>
    <row r="83">
      <c r="A83" s="22" t="inlineStr">
        <is>
          <t>Empaque</t>
        </is>
      </c>
      <c r="B83" s="25" t="inlineStr">
        <is>
          <t>CIF</t>
        </is>
      </c>
      <c r="C83" s="47" t="n">
        <v>1</v>
      </c>
      <c r="D83" s="48" t="n">
        <v>1.5</v>
      </c>
      <c r="E83" s="48" t="n">
        <v>1.5</v>
      </c>
      <c r="F83" s="22" t="inlineStr">
        <is>
          <t>Costo Indirecto Fabr.</t>
        </is>
      </c>
      <c r="G83" s="21" t="n"/>
    </row>
    <row r="84">
      <c r="A84" s="22" t="inlineStr">
        <is>
          <t>Papel Film</t>
        </is>
      </c>
      <c r="B84" s="25" t="inlineStr">
        <is>
          <t>CIF</t>
        </is>
      </c>
      <c r="C84" s="47" t="n">
        <v>1</v>
      </c>
      <c r="D84" s="48" t="n">
        <v>0.08500000000000001</v>
      </c>
      <c r="E84" s="48" t="n">
        <v>0.08500000000000001</v>
      </c>
      <c r="F84" s="22" t="inlineStr">
        <is>
          <t>Costo Indirecto Fabr.</t>
        </is>
      </c>
      <c r="G84" s="21" t="n"/>
    </row>
    <row r="85">
      <c r="A85" s="22" t="inlineStr">
        <is>
          <t>Post It</t>
        </is>
      </c>
      <c r="B85" s="25" t="inlineStr">
        <is>
          <t>CIF</t>
        </is>
      </c>
      <c r="C85" s="47" t="n">
        <v>1</v>
      </c>
      <c r="D85" s="48" t="n">
        <v>0.075</v>
      </c>
      <c r="E85" s="48" t="n">
        <v>0.075</v>
      </c>
      <c r="F85" s="22" t="inlineStr">
        <is>
          <t>Costo Indirecto Fabr.</t>
        </is>
      </c>
      <c r="G85" s="21" t="n"/>
    </row>
    <row r="86">
      <c r="A86" s="49" t="inlineStr">
        <is>
          <t>Total MPD</t>
        </is>
      </c>
      <c r="B86" s="44" t="n"/>
      <c r="C86" s="44" t="n"/>
      <c r="D86" s="44" t="n"/>
      <c r="E86" s="50" t="n">
        <v>30</v>
      </c>
      <c r="F86" s="44" t="n"/>
      <c r="G86" s="44" t="n"/>
    </row>
    <row r="87">
      <c r="A87" s="36" t="inlineStr">
        <is>
          <t>Total MOD</t>
        </is>
      </c>
      <c r="B87" s="10" t="n"/>
      <c r="C87" s="10" t="n"/>
      <c r="D87" s="10" t="n"/>
      <c r="E87" s="51" t="n">
        <v>23.5</v>
      </c>
      <c r="F87" s="10" t="n"/>
      <c r="G87" s="10" t="n"/>
    </row>
    <row r="88">
      <c r="A88" s="52" t="inlineStr">
        <is>
          <t>Total CIF</t>
        </is>
      </c>
      <c r="B88" s="21" t="n"/>
      <c r="C88" s="21" t="n"/>
      <c r="D88" s="21" t="n"/>
      <c r="E88" s="53" t="n">
        <v>1.66</v>
      </c>
      <c r="F88" s="21" t="n"/>
      <c r="G88" s="21" t="n"/>
    </row>
    <row r="89">
      <c r="A89" s="30" t="inlineStr">
        <is>
          <t>COSTO UNITARIO TOTAL</t>
        </is>
      </c>
      <c r="B89" s="6" t="n"/>
      <c r="C89" s="6" t="n"/>
      <c r="D89" s="6" t="n"/>
      <c r="E89" s="54" t="n">
        <v>55.16</v>
      </c>
      <c r="F89" s="6" t="n"/>
      <c r="G89" s="6" t="n"/>
    </row>
  </sheetData>
  <mergeCells count="8">
    <mergeCell ref="A1:G1"/>
    <mergeCell ref="A3:G3"/>
    <mergeCell ref="A39:G39"/>
    <mergeCell ref="A12:G12"/>
    <mergeCell ref="A78:G78"/>
    <mergeCell ref="A52:G52"/>
    <mergeCell ref="A25:G25"/>
    <mergeCell ref="A65:G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3" customWidth="1" min="3" max="3"/>
    <col width="14" customWidth="1" min="4" max="4"/>
    <col width="14" customWidth="1" min="5" max="5"/>
    <col width="16" customWidth="1" min="6" max="6"/>
    <col width="15" customWidth="1" min="7" max="7"/>
  </cols>
  <sheetData>
    <row r="1" ht="30" customHeight="1">
      <c r="A1" s="32" t="inlineStr">
        <is>
          <t>ANÁLISIS DE PUNTO DE EQUILIBRIO — ENJOYA</t>
        </is>
      </c>
    </row>
    <row r="3" ht="20" customHeight="1">
      <c r="A3" s="3" t="inlineStr">
        <is>
          <t>COSTOS FIJOS MENSUALES (Industria de la empresa)</t>
        </is>
      </c>
    </row>
    <row r="4" ht="18" customHeight="1">
      <c r="A4" s="4" t="inlineStr">
        <is>
          <t>Descripción</t>
        </is>
      </c>
      <c r="B4" s="4" t="inlineStr">
        <is>
          <t>Tipo CF/CV</t>
        </is>
      </c>
      <c r="C4" s="4" t="inlineStr">
        <is>
          <t>Monto S/</t>
        </is>
      </c>
      <c r="D4" s="4" t="inlineStr">
        <is>
          <t>Observación</t>
        </is>
      </c>
    </row>
    <row r="5">
      <c r="A5" s="8" t="inlineStr">
        <is>
          <t>Meta Ads (publicidad digital)</t>
        </is>
      </c>
      <c r="B5" s="29" t="inlineStr">
        <is>
          <t>Fijo</t>
        </is>
      </c>
      <c r="C5" s="9" t="n">
        <v>500</v>
      </c>
      <c r="D5" s="8" t="inlineStr">
        <is>
          <t>Gasto en pauta publicitaria</t>
        </is>
      </c>
    </row>
    <row r="6">
      <c r="A6" s="22" t="inlineStr">
        <is>
          <t>Gastos adicionales publicidad</t>
        </is>
      </c>
      <c r="B6" s="25" t="inlineStr">
        <is>
          <t>Variable</t>
        </is>
      </c>
      <c r="C6" s="23" t="n">
        <v>1200</v>
      </c>
      <c r="D6" s="22" t="inlineStr">
        <is>
          <t>Diseños, creatividades etc.</t>
        </is>
      </c>
    </row>
    <row r="7">
      <c r="A7" s="22" t="inlineStr">
        <is>
          <t>Deliverys / Motorizado</t>
        </is>
      </c>
      <c r="B7" s="25" t="inlineStr">
        <is>
          <t>Variable</t>
        </is>
      </c>
      <c r="C7" s="23" t="n">
        <v>200</v>
      </c>
      <c r="D7" s="22" t="inlineStr">
        <is>
          <t>Envíos Lima</t>
        </is>
      </c>
    </row>
    <row r="8">
      <c r="A8" s="8" t="inlineStr">
        <is>
          <t>Mano de obra / Sueldo</t>
        </is>
      </c>
      <c r="B8" s="29" t="inlineStr">
        <is>
          <t>Fijo</t>
        </is>
      </c>
      <c r="C8" s="9" t="n">
        <v>800</v>
      </c>
      <c r="D8" s="8" t="inlineStr">
        <is>
          <t>Costo de producción y coordinación</t>
        </is>
      </c>
    </row>
    <row r="9">
      <c r="A9" s="8" t="inlineStr">
        <is>
          <t>Celular</t>
        </is>
      </c>
      <c r="B9" s="29" t="inlineStr">
        <is>
          <t>Fijo</t>
        </is>
      </c>
      <c r="C9" s="9" t="n">
        <v>40</v>
      </c>
      <c r="D9" s="8" t="inlineStr">
        <is>
          <t>Comunicación</t>
        </is>
      </c>
    </row>
    <row r="10">
      <c r="A10" s="8" t="inlineStr">
        <is>
          <t>Internet</t>
        </is>
      </c>
      <c r="B10" s="29" t="inlineStr">
        <is>
          <t>Fijo</t>
        </is>
      </c>
      <c r="C10" s="9" t="n">
        <v>15</v>
      </c>
      <c r="D10" s="8" t="inlineStr">
        <is>
          <t>Conectividad</t>
        </is>
      </c>
    </row>
    <row r="11">
      <c r="A11" s="8" t="inlineStr">
        <is>
          <t>Página web / hosting</t>
        </is>
      </c>
      <c r="B11" s="29" t="inlineStr">
        <is>
          <t>Fijo</t>
        </is>
      </c>
      <c r="C11" s="9" t="n">
        <v>34</v>
      </c>
      <c r="D11" s="8" t="inlineStr">
        <is>
          <t>Web Enjoya</t>
        </is>
      </c>
    </row>
    <row r="12">
      <c r="A12" s="22" t="inlineStr">
        <is>
          <t>Motorizado por recojo</t>
        </is>
      </c>
      <c r="B12" s="25" t="inlineStr">
        <is>
          <t>Variable</t>
        </is>
      </c>
      <c r="C12" s="23" t="n">
        <v>8</v>
      </c>
      <c r="D12" s="22" t="inlineStr">
        <is>
          <t>Recojo de fichas/pedidos</t>
        </is>
      </c>
    </row>
    <row r="13">
      <c r="A13" s="55" t="inlineStr">
        <is>
          <t>Total Costos Fijos puros</t>
        </is>
      </c>
      <c r="B13" s="56" t="n"/>
      <c r="C13" s="57" t="n">
        <v>1389</v>
      </c>
      <c r="D13" s="56" t="n"/>
    </row>
    <row r="14">
      <c r="A14" s="58" t="inlineStr">
        <is>
          <t>Total Costos Variables estimados</t>
        </is>
      </c>
      <c r="B14" s="59" t="n"/>
      <c r="C14" s="60" t="n">
        <v>1408</v>
      </c>
      <c r="D14" s="59" t="n"/>
    </row>
    <row r="15">
      <c r="A15" s="61" t="inlineStr">
        <is>
          <t>TOTAL COSTOS OPERATIVOS MENSUALES</t>
        </is>
      </c>
      <c r="B15" s="7" t="n"/>
      <c r="C15" s="31" t="n">
        <v>2797</v>
      </c>
      <c r="D15" s="7" t="n"/>
    </row>
    <row r="17" ht="20" customHeight="1">
      <c r="A17" s="39" t="inlineStr">
        <is>
          <t>PUNTO DE EQUILIBRIO POR PRODUCTO (Cuántas unidades vender para cubrir costos)</t>
        </is>
      </c>
    </row>
    <row r="18" ht="18" customHeight="1">
      <c r="A18" s="4" t="inlineStr">
        <is>
          <t>Código</t>
        </is>
      </c>
      <c r="B18" s="4" t="inlineStr">
        <is>
          <t>Producto</t>
        </is>
      </c>
      <c r="C18" s="4" t="inlineStr">
        <is>
          <t>Costo Unit. S/</t>
        </is>
      </c>
      <c r="D18" s="4" t="inlineStr">
        <is>
          <t>Precio Venta S/</t>
        </is>
      </c>
      <c r="E18" s="4" t="inlineStr">
        <is>
          <t>Margen Unit. S/</t>
        </is>
      </c>
      <c r="F18" s="4" t="inlineStr">
        <is>
          <t>PE Unidades/mes</t>
        </is>
      </c>
      <c r="G18" s="4" t="inlineStr">
        <is>
          <t>Ingreso Mín. S/</t>
        </is>
      </c>
    </row>
    <row r="19">
      <c r="A19" s="27" t="inlineStr">
        <is>
          <t>CL01</t>
        </is>
      </c>
      <c r="B19" s="14" t="inlineStr">
        <is>
          <t>Collar dije circular 1.5cm</t>
        </is>
      </c>
      <c r="C19" s="15" t="n">
        <v>76.66</v>
      </c>
      <c r="D19" s="15" t="n">
        <v>149</v>
      </c>
      <c r="E19" s="33" t="n">
        <v>72.34</v>
      </c>
      <c r="F19" s="62" t="n">
        <v>38.7</v>
      </c>
      <c r="G19" s="15" t="n">
        <v>5761.03</v>
      </c>
    </row>
    <row r="20">
      <c r="A20" s="26" t="inlineStr">
        <is>
          <t>CL02</t>
        </is>
      </c>
      <c r="B20" s="8" t="inlineStr">
        <is>
          <t>Collar dije circular 2cm</t>
        </is>
      </c>
      <c r="C20" s="9" t="n">
        <v>84.66</v>
      </c>
      <c r="D20" s="9" t="n">
        <v>169</v>
      </c>
      <c r="E20" s="63" t="n">
        <v>84.34</v>
      </c>
      <c r="F20" s="64" t="n">
        <v>33.2</v>
      </c>
      <c r="G20" s="9" t="n">
        <v>5604.61</v>
      </c>
    </row>
    <row r="21">
      <c r="A21" s="27" t="inlineStr">
        <is>
          <t>PL01</t>
        </is>
      </c>
      <c r="B21" s="14" t="inlineStr">
        <is>
          <t>Pulsera dije circular 2cm colgante</t>
        </is>
      </c>
      <c r="C21" s="15" t="n">
        <v>58.66</v>
      </c>
      <c r="D21" s="15" t="n">
        <v>89</v>
      </c>
      <c r="E21" s="33" t="n">
        <v>30.34</v>
      </c>
      <c r="F21" s="62" t="n">
        <v>92.2</v>
      </c>
      <c r="G21" s="15" t="n">
        <v>8204.780000000001</v>
      </c>
    </row>
    <row r="22">
      <c r="A22" s="26" t="inlineStr">
        <is>
          <t>PL07</t>
        </is>
      </c>
      <c r="B22" s="8" t="inlineStr">
        <is>
          <t>Pulsera hilo negro dije circular</t>
        </is>
      </c>
      <c r="C22" s="9" t="n">
        <v>70.66</v>
      </c>
      <c r="D22" s="9" t="n">
        <v>149</v>
      </c>
      <c r="E22" s="63" t="n">
        <v>78.34</v>
      </c>
      <c r="F22" s="64" t="n">
        <v>35.7</v>
      </c>
      <c r="G22" s="9" t="n">
        <v>5319.8</v>
      </c>
    </row>
    <row r="23">
      <c r="A23" s="27" t="inlineStr">
        <is>
          <t>PL08</t>
        </is>
      </c>
      <c r="B23" s="14" t="inlineStr">
        <is>
          <t>Pulsera con cadena</t>
        </is>
      </c>
      <c r="C23" s="15" t="n">
        <v>74.66</v>
      </c>
      <c r="D23" s="15" t="n">
        <v>149</v>
      </c>
      <c r="E23" s="33" t="n">
        <v>74.34</v>
      </c>
      <c r="F23" s="62" t="n">
        <v>37.6</v>
      </c>
      <c r="G23" s="15" t="n">
        <v>5606.04</v>
      </c>
    </row>
    <row r="24">
      <c r="A24" s="26" t="inlineStr">
        <is>
          <t>Huellita</t>
        </is>
      </c>
      <c r="B24" s="8" t="inlineStr">
        <is>
          <t>Pulsera Huellita (resina)</t>
        </is>
      </c>
      <c r="C24" s="9" t="n">
        <v>55.16</v>
      </c>
      <c r="D24" s="9" t="n">
        <v>89</v>
      </c>
      <c r="E24" s="63" t="n">
        <v>33.84</v>
      </c>
      <c r="F24" s="64" t="n">
        <v>82.7</v>
      </c>
      <c r="G24" s="9" t="n">
        <v>7356.18</v>
      </c>
    </row>
    <row r="26" ht="20" customHeight="1">
      <c r="A26" s="65" t="inlineStr">
        <is>
          <t>PE = Costos Fijos Totales / (Precio Unitario − Costo Unitario)     →     CF total = S/ 2,797.00/mes</t>
        </is>
      </c>
    </row>
    <row r="27" ht="20" customHeight="1">
      <c r="A27" s="66" t="inlineStr">
        <is>
          <t>Interpretación: El número de 'PE Unidades/mes' es el mínimo de joyas a vender mensualmente para no perder dinero. Con 1 joya más ya hay ganancia. El 'Ingreso Mínimo' es cuántos soles de ventas necesitas alcanzar ese punto.</t>
        </is>
      </c>
    </row>
  </sheetData>
  <mergeCells count="5">
    <mergeCell ref="A1:G1"/>
    <mergeCell ref="A17:G17"/>
    <mergeCell ref="A27:G27"/>
    <mergeCell ref="A3:D3"/>
    <mergeCell ref="A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2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22" customWidth="1" min="4" max="4"/>
    <col width="36" customWidth="1" min="5" max="5"/>
    <col width="6" customWidth="1" min="6" max="6"/>
    <col width="14" customWidth="1" min="7" max="7"/>
    <col width="18" customWidth="1" min="8" max="8"/>
  </cols>
  <sheetData>
    <row r="1" ht="28" customHeight="1">
      <c r="A1" s="32" t="inlineStr">
        <is>
          <t>REGISTRO DE VENTAS — ENJOYA 2025-2026</t>
        </is>
      </c>
    </row>
    <row r="3" ht="20" customHeight="1">
      <c r="A3" s="3" t="inlineStr">
        <is>
          <t>RESUMEN MENSUAL DE VENTAS</t>
        </is>
      </c>
    </row>
    <row r="4" ht="18" customHeight="1">
      <c r="A4" s="4" t="inlineStr">
        <is>
          <t>Mes</t>
        </is>
      </c>
      <c r="B4" s="4" t="inlineStr">
        <is>
          <t>Ingresos S/</t>
        </is>
      </c>
      <c r="C4" s="4" t="inlineStr">
        <is>
          <t>% del Total</t>
        </is>
      </c>
      <c r="D4" s="4" t="inlineStr">
        <is>
          <t>Fuente de Datos</t>
        </is>
      </c>
      <c r="E4" s="4" t="inlineStr">
        <is>
          <t>Observación</t>
        </is>
      </c>
    </row>
    <row r="5">
      <c r="A5" s="14" t="inlineStr">
        <is>
          <t>Ene 2025</t>
        </is>
      </c>
      <c r="B5" s="15" t="n">
        <v>1313</v>
      </c>
      <c r="C5" s="34" t="n">
        <v>3</v>
      </c>
      <c r="D5" s="14" t="inlineStr">
        <is>
          <t>VENTAS 2025.xlsx</t>
        </is>
      </c>
      <c r="E5" s="14" t="inlineStr">
        <is>
          <t>Normal</t>
        </is>
      </c>
    </row>
    <row r="6">
      <c r="A6" s="8" t="inlineStr">
        <is>
          <t>Feb 2025</t>
        </is>
      </c>
      <c r="B6" s="9" t="n">
        <v>4482.7</v>
      </c>
      <c r="C6" s="67" t="n">
        <v>10.4</v>
      </c>
      <c r="D6" s="8" t="inlineStr">
        <is>
          <t>VENTAS 2025.xlsx</t>
        </is>
      </c>
      <c r="E6" s="8" t="inlineStr">
        <is>
          <t>Normal</t>
        </is>
      </c>
    </row>
    <row r="7">
      <c r="A7" s="11" t="inlineStr">
        <is>
          <t>Mar 2025</t>
        </is>
      </c>
      <c r="B7" s="12" t="n">
        <v>5034</v>
      </c>
      <c r="C7" s="24" t="n">
        <v>11.7</v>
      </c>
      <c r="D7" s="11" t="inlineStr">
        <is>
          <t>VENTAS 2025.xlsx</t>
        </is>
      </c>
      <c r="E7" s="11" t="inlineStr">
        <is>
          <t>Alto: Feria/evento</t>
        </is>
      </c>
    </row>
    <row r="8">
      <c r="A8" s="8" t="inlineStr">
        <is>
          <t>Abr 2025</t>
        </is>
      </c>
      <c r="B8" s="9" t="n">
        <v>2699</v>
      </c>
      <c r="C8" s="67" t="n">
        <v>6.2</v>
      </c>
      <c r="D8" s="8" t="inlineStr">
        <is>
          <t>VENTAS 2025.xlsx</t>
        </is>
      </c>
      <c r="E8" s="8" t="inlineStr">
        <is>
          <t>Normal</t>
        </is>
      </c>
    </row>
    <row r="9">
      <c r="A9" s="14" t="inlineStr">
        <is>
          <t>May 2025</t>
        </is>
      </c>
      <c r="B9" s="15" t="n">
        <v>4543</v>
      </c>
      <c r="C9" s="34" t="n">
        <v>10.5</v>
      </c>
      <c r="D9" s="14" t="inlineStr">
        <is>
          <t>VENTAS 2025.xlsx</t>
        </is>
      </c>
      <c r="E9" s="14" t="inlineStr">
        <is>
          <t>Normal</t>
        </is>
      </c>
    </row>
    <row r="10">
      <c r="A10" s="8" t="inlineStr">
        <is>
          <t>Jun 2025</t>
        </is>
      </c>
      <c r="B10" s="9" t="n">
        <v>3450.2</v>
      </c>
      <c r="C10" s="67" t="n">
        <v>8</v>
      </c>
      <c r="D10" s="8" t="inlineStr">
        <is>
          <t>VENTAS 2025.xlsx</t>
        </is>
      </c>
      <c r="E10" s="8" t="inlineStr">
        <is>
          <t>Normal</t>
        </is>
      </c>
    </row>
    <row r="11">
      <c r="A11" s="14" t="inlineStr">
        <is>
          <t>Jul 2025</t>
        </is>
      </c>
      <c r="B11" s="15" t="n">
        <v>3170</v>
      </c>
      <c r="C11" s="34" t="n">
        <v>7.3</v>
      </c>
      <c r="D11" s="14" t="inlineStr">
        <is>
          <t>VENTAS 2025.xlsx</t>
        </is>
      </c>
      <c r="E11" s="14" t="inlineStr">
        <is>
          <t>Normal</t>
        </is>
      </c>
    </row>
    <row r="12">
      <c r="A12" s="17" t="inlineStr">
        <is>
          <t>Ago 2025</t>
        </is>
      </c>
      <c r="B12" s="18" t="n">
        <v>301</v>
      </c>
      <c r="C12" s="68" t="n">
        <v>0.7</v>
      </c>
      <c r="D12" s="17" t="inlineStr">
        <is>
          <t>VENTAS 2025.xlsx</t>
        </is>
      </c>
      <c r="E12" s="17" t="inlineStr">
        <is>
          <t>Normal</t>
        </is>
      </c>
    </row>
    <row r="13">
      <c r="A13" s="17" t="inlineStr">
        <is>
          <t>Set 2025</t>
        </is>
      </c>
      <c r="B13" s="18" t="n"/>
      <c r="C13" s="68" t="n">
        <v>0</v>
      </c>
      <c r="D13" s="17" t="inlineStr">
        <is>
          <t>VENTAS 2025.xlsx</t>
        </is>
      </c>
      <c r="E13" s="17" t="inlineStr">
        <is>
          <t>Sin registro</t>
        </is>
      </c>
    </row>
    <row r="14">
      <c r="A14" s="8" t="inlineStr">
        <is>
          <t>Oct 2025</t>
        </is>
      </c>
      <c r="B14" s="9" t="n">
        <v>1719</v>
      </c>
      <c r="C14" s="67" t="n">
        <v>4</v>
      </c>
      <c r="D14" s="8" t="inlineStr">
        <is>
          <t>Matriz Ventas Pedidos</t>
        </is>
      </c>
      <c r="E14" s="8" t="inlineStr">
        <is>
          <t>Normal</t>
        </is>
      </c>
    </row>
    <row r="15">
      <c r="A15" s="14" t="inlineStr">
        <is>
          <t>Nov 2025</t>
        </is>
      </c>
      <c r="B15" s="15" t="n">
        <v>3270</v>
      </c>
      <c r="C15" s="34" t="n">
        <v>7.6</v>
      </c>
      <c r="D15" s="14" t="inlineStr">
        <is>
          <t>Matriz Ventas Pedidos</t>
        </is>
      </c>
      <c r="E15" s="14" t="inlineStr">
        <is>
          <t>Normal</t>
        </is>
      </c>
    </row>
    <row r="16">
      <c r="A16" s="11" t="inlineStr">
        <is>
          <t>Dic 2025</t>
        </is>
      </c>
      <c r="B16" s="12" t="n">
        <v>6757</v>
      </c>
      <c r="C16" s="24" t="n">
        <v>15.6</v>
      </c>
      <c r="D16" s="11" t="inlineStr">
        <is>
          <t>Matriz Ventas Pedidos</t>
        </is>
      </c>
      <c r="E16" s="11" t="inlineStr">
        <is>
          <t>Alta: Diciembre navideño</t>
        </is>
      </c>
    </row>
    <row r="17">
      <c r="A17" s="27" t="inlineStr">
        <is>
          <t>Ene 2026</t>
        </is>
      </c>
      <c r="B17" s="15" t="n">
        <v>914</v>
      </c>
      <c r="C17" s="34" t="n">
        <v>2.1</v>
      </c>
      <c r="D17" s="14" t="inlineStr">
        <is>
          <t>Matriz Ventas Pedidos</t>
        </is>
      </c>
      <c r="E17" s="14" t="inlineStr">
        <is>
          <t>Normal</t>
        </is>
      </c>
    </row>
    <row r="18">
      <c r="A18" s="26" t="inlineStr">
        <is>
          <t>Feb 2026</t>
        </is>
      </c>
      <c r="B18" s="9" t="n">
        <v>2314</v>
      </c>
      <c r="C18" s="67" t="n">
        <v>5.4</v>
      </c>
      <c r="D18" s="8" t="inlineStr">
        <is>
          <t>Matriz Ventas Pedidos</t>
        </is>
      </c>
      <c r="E18" s="8" t="inlineStr">
        <is>
          <t>Normal</t>
        </is>
      </c>
    </row>
    <row r="19">
      <c r="A19" s="27" t="inlineStr">
        <is>
          <t>Mar 2026</t>
        </is>
      </c>
      <c r="B19" s="15" t="n">
        <v>2107</v>
      </c>
      <c r="C19" s="34" t="n">
        <v>4.9</v>
      </c>
      <c r="D19" s="14" t="inlineStr">
        <is>
          <t>Matriz Ventas Pedidos</t>
        </is>
      </c>
      <c r="E19" s="14" t="inlineStr">
        <is>
          <t>Normal</t>
        </is>
      </c>
    </row>
    <row r="20">
      <c r="A20" s="26" t="inlineStr">
        <is>
          <t>Abr 2026</t>
        </is>
      </c>
      <c r="B20" s="9" t="n">
        <v>1113</v>
      </c>
      <c r="C20" s="67" t="n">
        <v>2.6</v>
      </c>
      <c r="D20" s="8" t="inlineStr">
        <is>
          <t>Matriz Ventas Pedidos</t>
        </is>
      </c>
      <c r="E20" s="8" t="inlineStr">
        <is>
          <t>Normal</t>
        </is>
      </c>
    </row>
    <row r="21">
      <c r="A21" s="30" t="inlineStr">
        <is>
          <t>TOTAL REGISTRADO</t>
        </is>
      </c>
      <c r="B21" s="54" t="n">
        <v>43186.9</v>
      </c>
      <c r="C21" s="6" t="n"/>
      <c r="D21" s="6" t="n"/>
      <c r="E21" s="6" t="n"/>
    </row>
    <row r="23" ht="20" customHeight="1">
      <c r="A23" s="39" t="inlineStr">
        <is>
          <t>DETALLE DE PEDIDOS — OCT 2025 / ABR 2026 (Matriz Ventas – Todos los pedidos)</t>
        </is>
      </c>
    </row>
    <row r="24" ht="18" customHeight="1">
      <c r="A24" s="4" t="inlineStr">
        <is>
          <t>Orden</t>
        </is>
      </c>
      <c r="B24" s="4" t="inlineStr">
        <is>
          <t>Estado</t>
        </is>
      </c>
      <c r="C24" s="4" t="inlineStr">
        <is>
          <t>Fecha</t>
        </is>
      </c>
      <c r="D24" s="4" t="inlineStr">
        <is>
          <t>Categoría Pedido</t>
        </is>
      </c>
      <c r="E24" s="4" t="inlineStr">
        <is>
          <t>Pedido (detalle)</t>
        </is>
      </c>
      <c r="F24" s="4" t="inlineStr">
        <is>
          <t>Cant.</t>
        </is>
      </c>
      <c r="G24" s="4" t="inlineStr">
        <is>
          <t>Monto Joya S/</t>
        </is>
      </c>
      <c r="H24" s="4" t="inlineStr">
        <is>
          <t>Total c/Delivery S/</t>
        </is>
      </c>
    </row>
    <row r="25">
      <c r="A25" s="14" t="inlineStr">
        <is>
          <t>SE806</t>
        </is>
      </c>
      <c r="B25" s="69" t="inlineStr">
        <is>
          <t>Terminado</t>
        </is>
      </c>
      <c r="C25" s="70" t="n">
        <v>45936</v>
      </c>
      <c r="D25" s="14" t="inlineStr">
        <is>
          <t>OTRO</t>
        </is>
      </c>
      <c r="E25" s="14" t="inlineStr">
        <is>
          <t>Pin para Groomer</t>
        </is>
      </c>
      <c r="F25" s="71" t="n">
        <v>1</v>
      </c>
      <c r="G25" s="15" t="n"/>
      <c r="H25" s="15" t="n"/>
    </row>
    <row r="26">
      <c r="A26" s="8" t="inlineStr">
        <is>
          <t>se809</t>
        </is>
      </c>
      <c r="B26" s="69" t="inlineStr">
        <is>
          <t>Terminado</t>
        </is>
      </c>
      <c r="C26" s="72" t="n">
        <v>45941</v>
      </c>
      <c r="D26" s="8" t="inlineStr">
        <is>
          <t>CL03 Collar con dije silueta</t>
        </is>
      </c>
      <c r="E26" s="8" t="inlineStr">
        <is>
          <t xml:space="preserve">Collar corazón  </t>
        </is>
      </c>
      <c r="F26" s="73" t="n">
        <v>1</v>
      </c>
      <c r="G26" s="9" t="n">
        <v>159</v>
      </c>
      <c r="H26" s="9" t="n">
        <v>159</v>
      </c>
    </row>
    <row r="27">
      <c r="A27" s="14" t="inlineStr">
        <is>
          <t>se808</t>
        </is>
      </c>
      <c r="B27" s="69" t="inlineStr">
        <is>
          <t>Terminado</t>
        </is>
      </c>
      <c r="C27" s="70" t="n">
        <v>45944</v>
      </c>
      <c r="D27" s="14" t="inlineStr">
        <is>
          <t>OTRO</t>
        </is>
      </c>
      <c r="E27" s="14" t="inlineStr">
        <is>
          <t>Letra C</t>
        </is>
      </c>
      <c r="F27" s="71" t="n">
        <v>1</v>
      </c>
      <c r="G27" s="15" t="n"/>
      <c r="H27" s="15" t="n"/>
    </row>
    <row r="28">
      <c r="A28" s="8" t="inlineStr">
        <is>
          <t>se811</t>
        </is>
      </c>
      <c r="B28" s="69" t="inlineStr">
        <is>
          <t>Terminado</t>
        </is>
      </c>
      <c r="C28" s="72" t="n">
        <v>45947</v>
      </c>
      <c r="D28" s="8" t="inlineStr">
        <is>
          <t>CL01 Collar dije circular 1.</t>
        </is>
      </c>
      <c r="E28" s="8" t="inlineStr">
        <is>
          <t>CL01 Collar dije circular 1.5cm s/149</t>
        </is>
      </c>
      <c r="F28" s="73" t="n">
        <v>1</v>
      </c>
      <c r="G28" s="9" t="n">
        <v>59</v>
      </c>
      <c r="H28" s="9" t="n">
        <v>59</v>
      </c>
    </row>
    <row r="29">
      <c r="A29" s="14" t="inlineStr">
        <is>
          <t>se812</t>
        </is>
      </c>
      <c r="B29" s="69" t="inlineStr">
        <is>
          <t>Terminado</t>
        </is>
      </c>
      <c r="C29" s="70" t="n">
        <v>45947</v>
      </c>
      <c r="D29" s="14" t="inlineStr">
        <is>
          <t>CL01 Collar dije circular 1.</t>
        </is>
      </c>
      <c r="E29" s="14" t="inlineStr">
        <is>
          <t>CL01 Collar dije circular 1.5cm s/149</t>
        </is>
      </c>
      <c r="F29" s="71" t="n">
        <v>1</v>
      </c>
      <c r="G29" s="15" t="n">
        <v>59</v>
      </c>
      <c r="H29" s="15" t="n">
        <v>59</v>
      </c>
    </row>
    <row r="30">
      <c r="A30" s="8" t="inlineStr">
        <is>
          <t>se807</t>
        </is>
      </c>
      <c r="B30" s="69" t="inlineStr">
        <is>
          <t>Terminado</t>
        </is>
      </c>
      <c r="C30" s="72" t="n">
        <v>45948</v>
      </c>
      <c r="D30" s="8" t="inlineStr">
        <is>
          <t>DL02 Dije circular solo 2cm</t>
        </is>
      </c>
      <c r="E30" s="8" t="inlineStr">
        <is>
          <t>CL02 Collar dije circular 2cm s/169</t>
        </is>
      </c>
      <c r="F30" s="73" t="n">
        <v>1</v>
      </c>
      <c r="G30" s="9" t="n">
        <v>900</v>
      </c>
      <c r="H30" s="9" t="n">
        <v>1250</v>
      </c>
    </row>
    <row r="31">
      <c r="A31" s="14" t="inlineStr">
        <is>
          <t>se810</t>
        </is>
      </c>
      <c r="B31" s="69" t="inlineStr">
        <is>
          <t>Terminado</t>
        </is>
      </c>
      <c r="C31" s="70" t="n">
        <v>45948</v>
      </c>
      <c r="D31" s="14" t="inlineStr">
        <is>
          <t>OTRO</t>
        </is>
      </c>
      <c r="E31" s="14" t="inlineStr">
        <is>
          <t>Dije varón 180</t>
        </is>
      </c>
      <c r="F31" s="71" t="n">
        <v>1</v>
      </c>
      <c r="G31" s="15" t="n">
        <v>180</v>
      </c>
      <c r="H31" s="15" t="n">
        <v>192</v>
      </c>
    </row>
    <row r="32">
      <c r="A32" s="8" t="inlineStr">
        <is>
          <t>se822</t>
        </is>
      </c>
      <c r="B32" s="69" t="inlineStr">
        <is>
          <t>Terminado</t>
        </is>
      </c>
      <c r="C32" s="72" t="n">
        <v>45955</v>
      </c>
      <c r="D32" s="8" t="inlineStr">
        <is>
          <t>OTRO</t>
        </is>
      </c>
      <c r="E32" s="8" t="inlineStr">
        <is>
          <t xml:space="preserve">Dije silueta cuerpo completo </t>
        </is>
      </c>
      <c r="F32" s="73" t="n">
        <v>1</v>
      </c>
      <c r="G32" s="9" t="n"/>
      <c r="H32" s="9" t="n"/>
    </row>
    <row r="33">
      <c r="A33" s="14" t="inlineStr">
        <is>
          <t>se821</t>
        </is>
      </c>
      <c r="B33" s="69" t="inlineStr">
        <is>
          <t>Terminado</t>
        </is>
      </c>
      <c r="C33" s="70" t="n">
        <v>45955</v>
      </c>
      <c r="D33" s="14" t="inlineStr">
        <is>
          <t>OTRO</t>
        </is>
      </c>
      <c r="E33" s="14" t="inlineStr">
        <is>
          <t>Collar con 2 siluetas de mascotas</t>
        </is>
      </c>
      <c r="F33" s="71" t="n">
        <v>1</v>
      </c>
      <c r="G33" s="15" t="n"/>
      <c r="H33" s="15" t="n"/>
    </row>
    <row r="34">
      <c r="A34" s="8" t="inlineStr">
        <is>
          <t>se820</t>
        </is>
      </c>
      <c r="B34" s="69" t="inlineStr">
        <is>
          <t>Terminado</t>
        </is>
      </c>
      <c r="C34" s="72" t="n">
        <v>45955</v>
      </c>
      <c r="D34" s="8" t="inlineStr">
        <is>
          <t>P07 Pulsera con hilo negro d</t>
        </is>
      </c>
      <c r="E34" s="8" t="inlineStr">
        <is>
          <t>P07 Pulsera con hilo negro dije circular s/149</t>
        </is>
      </c>
      <c r="F34" s="73" t="n">
        <v>1</v>
      </c>
      <c r="G34" s="9" t="n">
        <v>149</v>
      </c>
      <c r="H34" s="9" t="n"/>
    </row>
    <row r="35">
      <c r="A35" s="14" t="inlineStr">
        <is>
          <t>se819</t>
        </is>
      </c>
      <c r="B35" s="69" t="inlineStr">
        <is>
          <t>Terminado</t>
        </is>
      </c>
      <c r="C35" s="70" t="n">
        <v>45955</v>
      </c>
      <c r="D35" s="14" t="inlineStr">
        <is>
          <t>OTRO</t>
        </is>
      </c>
      <c r="E35" s="14" t="inlineStr">
        <is>
          <t xml:space="preserve">dije circular con la silueta de su perrito </t>
        </is>
      </c>
      <c r="F35" s="71" t="n">
        <v>1</v>
      </c>
      <c r="G35" s="15" t="n">
        <v>49</v>
      </c>
      <c r="H35" s="15" t="n"/>
    </row>
    <row r="36">
      <c r="A36" s="8" t="inlineStr">
        <is>
          <t>se818</t>
        </is>
      </c>
      <c r="B36" s="69" t="inlineStr">
        <is>
          <t>Terminado</t>
        </is>
      </c>
      <c r="C36" s="72" t="n">
        <v>45955</v>
      </c>
      <c r="D36" s="8" t="inlineStr">
        <is>
          <t>OTRO</t>
        </is>
      </c>
      <c r="E36" s="8" t="inlineStr">
        <is>
          <t xml:space="preserve">pulsera color rojo dije colgante circular con huellita </t>
        </is>
      </c>
      <c r="F36" s="73" t="n">
        <v>1</v>
      </c>
      <c r="G36" s="9" t="n">
        <v>49</v>
      </c>
      <c r="H36" s="9" t="n"/>
    </row>
    <row r="37">
      <c r="A37" s="14" t="inlineStr">
        <is>
          <t>se817</t>
        </is>
      </c>
      <c r="B37" s="69" t="inlineStr">
        <is>
          <t>Terminado</t>
        </is>
      </c>
      <c r="C37" s="70" t="n">
        <v>45955</v>
      </c>
      <c r="D37" s="14" t="inlineStr">
        <is>
          <t>OTRO</t>
        </is>
      </c>
      <c r="E37" s="14" t="inlineStr">
        <is>
          <t>Pulsera plata pom</t>
        </is>
      </c>
      <c r="F37" s="71" t="n">
        <v>1</v>
      </c>
      <c r="G37" s="15" t="n">
        <v>59</v>
      </c>
      <c r="H37" s="15" t="n"/>
    </row>
    <row r="38">
      <c r="A38" s="8" t="inlineStr">
        <is>
          <t>se816</t>
        </is>
      </c>
      <c r="B38" s="69" t="inlineStr">
        <is>
          <t>Terminado</t>
        </is>
      </c>
      <c r="C38" s="72" t="n">
        <v>45955</v>
      </c>
      <c r="D38" s="8" t="inlineStr">
        <is>
          <t>OTRO</t>
        </is>
      </c>
      <c r="E38" s="8" t="inlineStr">
        <is>
          <t>silueta pomerania con orejas</t>
        </is>
      </c>
      <c r="F38" s="73" t="n">
        <v>1</v>
      </c>
      <c r="G38" s="9" t="n"/>
      <c r="H38" s="9" t="n"/>
    </row>
    <row r="39">
      <c r="A39" s="14" t="inlineStr">
        <is>
          <t>se815</t>
        </is>
      </c>
      <c r="B39" s="69" t="inlineStr">
        <is>
          <t>Terminado</t>
        </is>
      </c>
      <c r="C39" s="70" t="n">
        <v>45955</v>
      </c>
      <c r="D39" s="14" t="inlineStr">
        <is>
          <t>OTRO</t>
        </is>
      </c>
      <c r="E39" s="14" t="inlineStr">
        <is>
          <t>circular Pom</t>
        </is>
      </c>
      <c r="F39" s="71" t="n">
        <v>1</v>
      </c>
      <c r="G39" s="15" t="n"/>
      <c r="H39" s="15" t="n"/>
    </row>
    <row r="40">
      <c r="A40" s="8" t="inlineStr">
        <is>
          <t>se814</t>
        </is>
      </c>
      <c r="B40" s="69" t="inlineStr">
        <is>
          <t>Terminado</t>
        </is>
      </c>
      <c r="C40" s="72" t="n">
        <v>45955</v>
      </c>
      <c r="D40" s="8" t="inlineStr">
        <is>
          <t>OTRO</t>
        </is>
      </c>
      <c r="E40" s="8" t="inlineStr">
        <is>
          <t>circular yorki</t>
        </is>
      </c>
      <c r="F40" s="73" t="n">
        <v>1</v>
      </c>
      <c r="G40" s="9" t="n"/>
      <c r="H40" s="9" t="n"/>
    </row>
    <row r="41">
      <c r="A41" s="14" t="inlineStr">
        <is>
          <t>se813</t>
        </is>
      </c>
      <c r="B41" s="69" t="inlineStr">
        <is>
          <t>Terminado</t>
        </is>
      </c>
      <c r="C41" s="70" t="n">
        <v>45955</v>
      </c>
      <c r="D41" s="14" t="inlineStr">
        <is>
          <t>OTRO</t>
        </is>
      </c>
      <c r="E41" s="14" t="inlineStr">
        <is>
          <t>Circular Maltes Pulsera</t>
        </is>
      </c>
      <c r="F41" s="71" t="n">
        <v>1</v>
      </c>
      <c r="G41" s="15" t="n"/>
      <c r="H41" s="15" t="n"/>
    </row>
    <row r="42">
      <c r="A42" s="8" t="inlineStr">
        <is>
          <t>se823</t>
        </is>
      </c>
      <c r="B42" s="69" t="inlineStr">
        <is>
          <t>Terminado</t>
        </is>
      </c>
      <c r="C42" s="72" t="n">
        <v>45961</v>
      </c>
      <c r="D42" s="8" t="inlineStr"/>
      <c r="E42" s="8" t="inlineStr">
        <is>
          <t>dije circular 1.3cm con orejas jack russell</t>
        </is>
      </c>
      <c r="F42" s="73" t="n">
        <v>1</v>
      </c>
      <c r="G42" s="9" t="n"/>
      <c r="H42" s="9" t="n"/>
    </row>
    <row r="43">
      <c r="A43" s="14" t="inlineStr">
        <is>
          <t>se825</t>
        </is>
      </c>
      <c r="B43" s="69" t="inlineStr">
        <is>
          <t>Terminado</t>
        </is>
      </c>
      <c r="C43" s="70" t="n">
        <v>45968</v>
      </c>
      <c r="D43" s="14" t="inlineStr">
        <is>
          <t>OTRO</t>
        </is>
      </c>
      <c r="E43" s="14" t="inlineStr">
        <is>
          <t>DL01 Dije circular solo 1.5cm s/119</t>
        </is>
      </c>
      <c r="F43" s="71" t="n">
        <v>1</v>
      </c>
      <c r="G43" s="15" t="n">
        <v>119</v>
      </c>
      <c r="H43" s="15" t="n">
        <v>131</v>
      </c>
    </row>
    <row r="44">
      <c r="A44" s="8" t="inlineStr">
        <is>
          <t>se826</t>
        </is>
      </c>
      <c r="B44" s="69" t="inlineStr">
        <is>
          <t>Terminado</t>
        </is>
      </c>
      <c r="C44" s="72" t="n">
        <v>45968</v>
      </c>
      <c r="D44" s="8" t="inlineStr"/>
      <c r="E44" s="8" t="inlineStr">
        <is>
          <t>CL01 Collar dije circular 1.5cm s/149</t>
        </is>
      </c>
      <c r="F44" s="73" t="n">
        <v>1</v>
      </c>
      <c r="G44" s="9" t="n">
        <v>149</v>
      </c>
      <c r="H44" s="9" t="n">
        <v>149</v>
      </c>
    </row>
    <row r="45">
      <c r="A45" s="14" t="inlineStr">
        <is>
          <t>se828</t>
        </is>
      </c>
      <c r="B45" s="69" t="inlineStr">
        <is>
          <t>Terminado</t>
        </is>
      </c>
      <c r="C45" s="70" t="n">
        <v>45968</v>
      </c>
      <c r="D45" s="14" t="inlineStr"/>
      <c r="E45" s="14" t="inlineStr">
        <is>
          <t>CL01 Collar dije circular 1.5cm s/149</t>
        </is>
      </c>
      <c r="F45" s="71" t="n">
        <v>1</v>
      </c>
      <c r="G45" s="15" t="n">
        <v>149</v>
      </c>
      <c r="H45" s="15" t="n">
        <v>149</v>
      </c>
    </row>
    <row r="46">
      <c r="A46" s="8" t="inlineStr">
        <is>
          <t>se824</t>
        </is>
      </c>
      <c r="B46" s="69" t="inlineStr">
        <is>
          <t>Terminado</t>
        </is>
      </c>
      <c r="C46" s="72" t="n">
        <v>45969</v>
      </c>
      <c r="D46" s="8" t="inlineStr">
        <is>
          <t>OTRO</t>
        </is>
      </c>
      <c r="E46" s="8" t="inlineStr">
        <is>
          <t>Pulsera con huella</t>
        </is>
      </c>
      <c r="F46" s="73" t="n">
        <v>1</v>
      </c>
      <c r="G46" s="9" t="n">
        <v>119</v>
      </c>
      <c r="H46" s="9" t="n">
        <v>131</v>
      </c>
    </row>
    <row r="47">
      <c r="A47" s="14" t="inlineStr">
        <is>
          <t>se827</t>
        </is>
      </c>
      <c r="B47" s="69" t="inlineStr">
        <is>
          <t>Terminado</t>
        </is>
      </c>
      <c r="C47" s="70" t="n">
        <v>45973</v>
      </c>
      <c r="D47" s="14" t="inlineStr"/>
      <c r="E47" s="14" t="inlineStr">
        <is>
          <t>Collar con dije cabecita y nombre</t>
        </is>
      </c>
      <c r="F47" s="71" t="n">
        <v>1</v>
      </c>
      <c r="G47" s="15" t="n">
        <v>175</v>
      </c>
      <c r="H47" s="15" t="n">
        <v>187</v>
      </c>
    </row>
    <row r="48">
      <c r="A48" s="8" t="inlineStr">
        <is>
          <t>se830</t>
        </is>
      </c>
      <c r="B48" s="69" t="inlineStr">
        <is>
          <t>Terminado</t>
        </is>
      </c>
      <c r="C48" s="72" t="n">
        <v>45974</v>
      </c>
      <c r="D48" s="8" t="inlineStr"/>
      <c r="E48" s="8" t="inlineStr">
        <is>
          <t>P03 Pulsera dije circular 2cm con orejas s/149</t>
        </is>
      </c>
      <c r="F48" s="73" t="n">
        <v>1</v>
      </c>
      <c r="G48" s="9" t="n">
        <v>199</v>
      </c>
      <c r="H48" s="9" t="n">
        <v>211</v>
      </c>
    </row>
    <row r="49">
      <c r="A49" s="14" t="inlineStr">
        <is>
          <t>se829</t>
        </is>
      </c>
      <c r="B49" s="69" t="inlineStr">
        <is>
          <t>Terminado</t>
        </is>
      </c>
      <c r="C49" s="70" t="n">
        <v>45974</v>
      </c>
      <c r="D49" s="14" t="inlineStr"/>
      <c r="E49" s="14" t="inlineStr">
        <is>
          <t xml:space="preserve">Collar con dije alas </t>
        </is>
      </c>
      <c r="F49" s="71" t="n">
        <v>1</v>
      </c>
      <c r="G49" s="15" t="n">
        <v>95</v>
      </c>
      <c r="H49" s="15" t="n">
        <v>99</v>
      </c>
    </row>
    <row r="50">
      <c r="A50" s="8" t="inlineStr">
        <is>
          <t>se831</t>
        </is>
      </c>
      <c r="B50" s="69" t="inlineStr">
        <is>
          <t>Terminado</t>
        </is>
      </c>
      <c r="C50" s="72" t="n">
        <v>45975</v>
      </c>
      <c r="D50" s="8" t="inlineStr"/>
      <c r="E50" s="8" t="inlineStr">
        <is>
          <t>Pulsera Huellita</t>
        </is>
      </c>
      <c r="F50" s="73" t="n">
        <v>1</v>
      </c>
      <c r="G50" s="9" t="n">
        <v>69</v>
      </c>
      <c r="H50" s="9" t="n">
        <v>69</v>
      </c>
    </row>
    <row r="51">
      <c r="A51" s="14" t="inlineStr">
        <is>
          <t>se832</t>
        </is>
      </c>
      <c r="B51" s="69" t="inlineStr">
        <is>
          <t>Terminado</t>
        </is>
      </c>
      <c r="C51" s="70" t="n">
        <v>45975</v>
      </c>
      <c r="D51" s="14" t="inlineStr"/>
      <c r="E51" s="14" t="inlineStr">
        <is>
          <t>CL01 Collar dije circular 1.5cm s/149</t>
        </is>
      </c>
      <c r="F51" s="71" t="n">
        <v>1</v>
      </c>
      <c r="G51" s="15" t="n">
        <v>126</v>
      </c>
      <c r="H51" s="15" t="n">
        <v>126</v>
      </c>
    </row>
    <row r="52">
      <c r="A52" s="8" t="inlineStr">
        <is>
          <t>se835</t>
        </is>
      </c>
      <c r="B52" s="69" t="inlineStr">
        <is>
          <t>Terminado</t>
        </is>
      </c>
      <c r="C52" s="72" t="n">
        <v>45978</v>
      </c>
      <c r="D52" s="8" t="inlineStr"/>
      <c r="E52" s="8" t="inlineStr">
        <is>
          <t>Aretes snauzer pero colgantes</t>
        </is>
      </c>
      <c r="F52" s="73" t="n">
        <v>1</v>
      </c>
      <c r="G52" s="9" t="n">
        <v>65</v>
      </c>
      <c r="H52" s="9" t="n">
        <v>65</v>
      </c>
    </row>
    <row r="53">
      <c r="A53" s="14" t="inlineStr">
        <is>
          <t>se833</t>
        </is>
      </c>
      <c r="B53" s="69" t="inlineStr">
        <is>
          <t>Terminado</t>
        </is>
      </c>
      <c r="C53" s="70" t="n">
        <v>45979</v>
      </c>
      <c r="D53" s="14" t="inlineStr"/>
      <c r="E53" s="14" t="inlineStr">
        <is>
          <t>Pulsera con dijes</t>
        </is>
      </c>
      <c r="F53" s="71" t="n">
        <v>1</v>
      </c>
      <c r="G53" s="15" t="n">
        <v>135</v>
      </c>
      <c r="H53" s="15" t="n">
        <v>147</v>
      </c>
    </row>
    <row r="54">
      <c r="A54" s="8" t="inlineStr">
        <is>
          <t>se838</t>
        </is>
      </c>
      <c r="B54" s="69" t="inlineStr">
        <is>
          <t>Terminado</t>
        </is>
      </c>
      <c r="C54" s="72" t="n">
        <v>45979</v>
      </c>
      <c r="D54" s="8" t="inlineStr"/>
      <c r="E54" s="8" t="inlineStr">
        <is>
          <t>pulsera tejida color rojo con dije circular y fecha atr</t>
        </is>
      </c>
      <c r="F54" s="73" t="n">
        <v>1</v>
      </c>
      <c r="G54" s="9" t="n">
        <v>69</v>
      </c>
      <c r="H54" s="9" t="n">
        <v>69</v>
      </c>
    </row>
    <row r="55">
      <c r="A55" s="14" t="inlineStr">
        <is>
          <t>se836</t>
        </is>
      </c>
      <c r="B55" s="69" t="inlineStr">
        <is>
          <t>Terminado</t>
        </is>
      </c>
      <c r="C55" s="70" t="n">
        <v>45980</v>
      </c>
      <c r="D55" s="14" t="inlineStr"/>
      <c r="E55" s="14" t="inlineStr">
        <is>
          <t>Es una pulsera con dije de acero</t>
        </is>
      </c>
      <c r="F55" s="71" t="n">
        <v>1</v>
      </c>
      <c r="G55" s="15" t="n">
        <v>89</v>
      </c>
      <c r="H55" s="15" t="n">
        <v>101</v>
      </c>
    </row>
    <row r="56">
      <c r="A56" s="8" t="inlineStr">
        <is>
          <t>se837</t>
        </is>
      </c>
      <c r="B56" s="69" t="inlineStr">
        <is>
          <t>Terminado</t>
        </is>
      </c>
      <c r="C56" s="72" t="n">
        <v>45981</v>
      </c>
      <c r="D56" s="8" t="inlineStr"/>
      <c r="E56" s="8" t="inlineStr">
        <is>
          <t>CL03 Collar con dije silueta 2.6cm s/185</t>
        </is>
      </c>
      <c r="F56" s="73" t="n">
        <v>1</v>
      </c>
      <c r="G56" s="9" t="n">
        <v>126</v>
      </c>
      <c r="H56" s="9" t="n">
        <v>138</v>
      </c>
    </row>
    <row r="57">
      <c r="A57" s="14" t="inlineStr">
        <is>
          <t>se840</t>
        </is>
      </c>
      <c r="B57" s="69" t="inlineStr">
        <is>
          <t>Terminado</t>
        </is>
      </c>
      <c r="C57" s="70" t="n">
        <v>45982</v>
      </c>
      <c r="D57" s="14" t="inlineStr"/>
      <c r="E57" s="14" t="inlineStr">
        <is>
          <t>Pulsera huellita con nombre</t>
        </is>
      </c>
      <c r="F57" s="71" t="n">
        <v>2</v>
      </c>
      <c r="G57" s="15" t="n">
        <v>130</v>
      </c>
      <c r="H57" s="15" t="n">
        <v>142</v>
      </c>
    </row>
    <row r="58">
      <c r="A58" s="8" t="inlineStr">
        <is>
          <t>se834</t>
        </is>
      </c>
      <c r="B58" s="69" t="inlineStr">
        <is>
          <t>Terminado</t>
        </is>
      </c>
      <c r="C58" s="72" t="n">
        <v>45982</v>
      </c>
      <c r="D58" s="8" t="inlineStr"/>
      <c r="E58" s="8" t="inlineStr">
        <is>
          <t>P03 Pulsera dije circular 2cm con orejas s/149</t>
        </is>
      </c>
      <c r="F58" s="73" t="n">
        <v>1</v>
      </c>
      <c r="G58" s="9" t="n">
        <v>149</v>
      </c>
      <c r="H58" s="9" t="n">
        <v>161</v>
      </c>
    </row>
    <row r="59">
      <c r="A59" s="14" t="inlineStr">
        <is>
          <t>se839</t>
        </is>
      </c>
      <c r="B59" s="69" t="inlineStr">
        <is>
          <t>Terminado</t>
        </is>
      </c>
      <c r="C59" s="70" t="n">
        <v>45985</v>
      </c>
      <c r="D59" s="14" t="inlineStr"/>
      <c r="E59" s="14" t="inlineStr">
        <is>
          <t>Collar con 2 nombres y con diseño que los una. El nombr</t>
        </is>
      </c>
      <c r="F59" s="71" t="n">
        <v>1</v>
      </c>
      <c r="G59" s="15" t="n">
        <v>159</v>
      </c>
      <c r="H59" s="15" t="n">
        <v>171</v>
      </c>
    </row>
    <row r="60">
      <c r="A60" s="8" t="inlineStr">
        <is>
          <t>se846</t>
        </is>
      </c>
      <c r="B60" s="69" t="inlineStr">
        <is>
          <t>Terminado</t>
        </is>
      </c>
      <c r="C60" s="72" t="n">
        <v>45987</v>
      </c>
      <c r="D60" s="8" t="inlineStr"/>
      <c r="E60" s="8" t="inlineStr">
        <is>
          <t>CL03 Collar con dije silueta 2.6cm s/185</t>
        </is>
      </c>
      <c r="F60" s="73" t="n">
        <v>1</v>
      </c>
      <c r="G60" s="9" t="n">
        <v>165</v>
      </c>
      <c r="H60" s="9" t="n">
        <v>165</v>
      </c>
    </row>
    <row r="61">
      <c r="A61" s="14" t="inlineStr">
        <is>
          <t>se845</t>
        </is>
      </c>
      <c r="B61" s="69" t="inlineStr">
        <is>
          <t>Terminado</t>
        </is>
      </c>
      <c r="C61" s="70" t="n">
        <v>45987</v>
      </c>
      <c r="D61" s="14" t="inlineStr"/>
      <c r="E61" s="14" t="inlineStr">
        <is>
          <t>Solo dije 1.5cm con persona y perrito</t>
        </is>
      </c>
      <c r="F61" s="71" t="n">
        <v>1</v>
      </c>
      <c r="G61" s="15" t="n">
        <v>99</v>
      </c>
      <c r="H61" s="15" t="n">
        <v>99</v>
      </c>
    </row>
    <row r="62">
      <c r="A62" s="8" t="inlineStr">
        <is>
          <t>se848</t>
        </is>
      </c>
      <c r="B62" s="69" t="inlineStr">
        <is>
          <t>Terminado</t>
        </is>
      </c>
      <c r="C62" s="72" t="n">
        <v>45989</v>
      </c>
      <c r="D62" s="8" t="inlineStr"/>
      <c r="E62" s="8" t="inlineStr">
        <is>
          <t>pulseras con silueta schnauzer hilo rojo</t>
        </is>
      </c>
      <c r="F62" s="73" t="n">
        <v>2</v>
      </c>
      <c r="G62" s="9" t="n">
        <v>80</v>
      </c>
      <c r="H62" s="9" t="n">
        <v>80</v>
      </c>
    </row>
    <row r="63">
      <c r="A63" s="14" t="inlineStr">
        <is>
          <t>se847</t>
        </is>
      </c>
      <c r="B63" s="69" t="inlineStr">
        <is>
          <t>Terminado</t>
        </is>
      </c>
      <c r="C63" s="70" t="n">
        <v>45989</v>
      </c>
      <c r="D63" s="14" t="inlineStr"/>
      <c r="E63" s="14" t="inlineStr">
        <is>
          <t>Pulsera con pug</t>
        </is>
      </c>
      <c r="F63" s="71" t="n">
        <v>1</v>
      </c>
      <c r="G63" s="15" t="n">
        <v>40</v>
      </c>
      <c r="H63" s="15" t="n">
        <v>52</v>
      </c>
    </row>
    <row r="64">
      <c r="A64" s="8" t="inlineStr">
        <is>
          <t>se842</t>
        </is>
      </c>
      <c r="B64" s="69" t="inlineStr">
        <is>
          <t>Terminado</t>
        </is>
      </c>
      <c r="C64" s="72" t="n">
        <v>45989</v>
      </c>
      <c r="D64" s="8" t="inlineStr"/>
      <c r="E64" s="8" t="inlineStr">
        <is>
          <t>P07 Pulsera con hilo negro dije circular s/149</t>
        </is>
      </c>
      <c r="F64" s="73" t="n">
        <v>1</v>
      </c>
      <c r="G64" s="9" t="n">
        <v>149</v>
      </c>
      <c r="H64" s="9" t="n">
        <v>149</v>
      </c>
    </row>
    <row r="65">
      <c r="A65" s="14" t="inlineStr">
        <is>
          <t>se843</t>
        </is>
      </c>
      <c r="B65" s="69" t="inlineStr">
        <is>
          <t>Terminado</t>
        </is>
      </c>
      <c r="C65" s="70" t="n">
        <v>45989</v>
      </c>
      <c r="D65" s="14" t="inlineStr"/>
      <c r="E65" s="14" t="inlineStr">
        <is>
          <t>DL02 Dije circular solo 2cm s/139</t>
        </is>
      </c>
      <c r="F65" s="71" t="n">
        <v>1</v>
      </c>
      <c r="G65" s="15" t="n">
        <v>139</v>
      </c>
      <c r="H65" s="15" t="n">
        <v>151</v>
      </c>
    </row>
    <row r="66">
      <c r="A66" s="8" t="inlineStr">
        <is>
          <t>se841</t>
        </is>
      </c>
      <c r="B66" s="69" t="inlineStr">
        <is>
          <t>Terminado</t>
        </is>
      </c>
      <c r="C66" s="72" t="n">
        <v>45989</v>
      </c>
      <c r="D66" s="8" t="inlineStr"/>
      <c r="E66" s="8" t="inlineStr">
        <is>
          <t>P02 Pulsera dije circular 2cm con huecos s/149</t>
        </is>
      </c>
      <c r="F66" s="73" t="n">
        <v>1</v>
      </c>
      <c r="G66" s="9" t="n">
        <v>149</v>
      </c>
      <c r="H66" s="9" t="n">
        <v>149</v>
      </c>
    </row>
    <row r="67">
      <c r="A67" s="14" t="inlineStr">
        <is>
          <t>se844</t>
        </is>
      </c>
      <c r="B67" s="69" t="inlineStr">
        <is>
          <t>Terminado</t>
        </is>
      </c>
      <c r="C67" s="70" t="n">
        <v>45989</v>
      </c>
      <c r="D67" s="14" t="inlineStr"/>
      <c r="E67" s="14" t="inlineStr">
        <is>
          <t>Pulsera plata</t>
        </is>
      </c>
      <c r="F67" s="71" t="n">
        <v>1</v>
      </c>
      <c r="G67" s="15" t="n">
        <v>179</v>
      </c>
      <c r="H67" s="15" t="n">
        <v>179</v>
      </c>
    </row>
    <row r="68">
      <c r="A68" s="8" t="inlineStr">
        <is>
          <t>se863</t>
        </is>
      </c>
      <c r="B68" s="69" t="inlineStr">
        <is>
          <t>Terminado</t>
        </is>
      </c>
      <c r="C68" s="72" t="n">
        <v>45994</v>
      </c>
      <c r="D68" s="8" t="inlineStr"/>
      <c r="E68" s="8" t="inlineStr">
        <is>
          <t>Collar dije acero 2cm grabado</t>
        </is>
      </c>
      <c r="F68" s="73" t="n">
        <v>1</v>
      </c>
      <c r="G68" s="9" t="n">
        <v>99</v>
      </c>
      <c r="H68" s="9" t="n">
        <v>99</v>
      </c>
    </row>
    <row r="69">
      <c r="A69" s="14" t="inlineStr">
        <is>
          <t>se864</t>
        </is>
      </c>
      <c r="B69" s="69" t="inlineStr">
        <is>
          <t>Terminado</t>
        </is>
      </c>
      <c r="C69" s="70" t="n">
        <v>45996</v>
      </c>
      <c r="D69" s="14" t="inlineStr"/>
      <c r="E69" s="14" t="inlineStr">
        <is>
          <t>Collar con dije 2cm con grabado adelante y atras</t>
        </is>
      </c>
      <c r="F69" s="71" t="n">
        <v>1</v>
      </c>
      <c r="G69" s="15" t="n">
        <v>119</v>
      </c>
      <c r="H69" s="15" t="n">
        <v>100</v>
      </c>
    </row>
    <row r="70">
      <c r="A70" s="8" t="inlineStr">
        <is>
          <t>se857</t>
        </is>
      </c>
      <c r="B70" s="69" t="inlineStr">
        <is>
          <t>Terminado</t>
        </is>
      </c>
      <c r="C70" s="72" t="n">
        <v>45996</v>
      </c>
      <c r="D70" s="8" t="inlineStr"/>
      <c r="E70" s="8" t="inlineStr">
        <is>
          <t>Pulsera con dije colgante en acero</t>
        </is>
      </c>
      <c r="F70" s="73" t="n">
        <v>1</v>
      </c>
      <c r="G70" s="9" t="n">
        <v>60</v>
      </c>
      <c r="H70" s="9" t="n">
        <v>60</v>
      </c>
    </row>
    <row r="71">
      <c r="A71" s="14" t="inlineStr">
        <is>
          <t>TA-27</t>
        </is>
      </c>
      <c r="B71" s="69" t="inlineStr">
        <is>
          <t>Terminado</t>
        </is>
      </c>
      <c r="C71" s="70" t="n">
        <v>45996</v>
      </c>
      <c r="D71" s="14" t="inlineStr"/>
      <c r="E71" s="14" t="inlineStr">
        <is>
          <t>Collar con dije rectangular con mano de bebé</t>
        </is>
      </c>
      <c r="F71" s="71" t="n">
        <v>1</v>
      </c>
      <c r="G71" s="15" t="n">
        <v>209</v>
      </c>
      <c r="H71" s="15" t="n">
        <v>209</v>
      </c>
    </row>
    <row r="72">
      <c r="A72" s="8" t="inlineStr">
        <is>
          <t>se866</t>
        </is>
      </c>
      <c r="B72" s="69" t="inlineStr">
        <is>
          <t>Terminado</t>
        </is>
      </c>
      <c r="C72" s="72" t="n">
        <v>45996</v>
      </c>
      <c r="D72" s="8" t="inlineStr"/>
      <c r="E72" s="8" t="inlineStr">
        <is>
          <t>huellita colgante de 1cm</t>
        </is>
      </c>
      <c r="F72" s="73" t="n">
        <v>1</v>
      </c>
      <c r="G72" s="9" t="n">
        <v>45</v>
      </c>
      <c r="H72" s="9" t="n">
        <v>45</v>
      </c>
    </row>
    <row r="73">
      <c r="A73" s="14" t="inlineStr">
        <is>
          <t>se855</t>
        </is>
      </c>
      <c r="B73" s="69" t="inlineStr">
        <is>
          <t>Terminado</t>
        </is>
      </c>
      <c r="C73" s="70" t="n">
        <v>45996</v>
      </c>
      <c r="D73" s="14" t="inlineStr"/>
      <c r="E73" s="14" t="inlineStr">
        <is>
          <t>P02 Pulsera dije circular 2cm con huecos s/149</t>
        </is>
      </c>
      <c r="F73" s="71" t="n">
        <v>1</v>
      </c>
      <c r="G73" s="15" t="n">
        <v>145</v>
      </c>
      <c r="H73" s="15" t="n">
        <v>145</v>
      </c>
    </row>
    <row r="74">
      <c r="A74" s="8" t="inlineStr">
        <is>
          <t>TA-26</t>
        </is>
      </c>
      <c r="B74" s="69" t="inlineStr">
        <is>
          <t>Terminado</t>
        </is>
      </c>
      <c r="C74" s="72" t="n">
        <v>45996</v>
      </c>
      <c r="D74" s="8" t="inlineStr"/>
      <c r="E74" s="8" t="inlineStr">
        <is>
          <t>01 dije 2cm con huellitas y dije de piedra octubre</t>
        </is>
      </c>
      <c r="F74" s="73" t="n">
        <v>1</v>
      </c>
      <c r="G74" s="9" t="n">
        <v>210</v>
      </c>
      <c r="H74" s="9" t="n">
        <v>210</v>
      </c>
    </row>
    <row r="75">
      <c r="A75" s="14" t="inlineStr">
        <is>
          <t>se853</t>
        </is>
      </c>
      <c r="B75" s="69" t="inlineStr">
        <is>
          <t>Terminado</t>
        </is>
      </c>
      <c r="C75" s="70" t="n">
        <v>45996</v>
      </c>
      <c r="D75" s="14" t="inlineStr"/>
      <c r="E75" s="14" t="inlineStr">
        <is>
          <t>P02 Pulsera dije circular 2cm con huecos s/149</t>
        </is>
      </c>
      <c r="F75" s="71" t="n">
        <v>1</v>
      </c>
      <c r="G75" s="15" t="n">
        <v>134</v>
      </c>
      <c r="H75" s="15" t="n">
        <v>146</v>
      </c>
    </row>
    <row r="76">
      <c r="A76" s="8" t="inlineStr">
        <is>
          <t>se852</t>
        </is>
      </c>
      <c r="B76" s="69" t="inlineStr">
        <is>
          <t>Terminado</t>
        </is>
      </c>
      <c r="C76" s="72" t="n">
        <v>45996</v>
      </c>
      <c r="D76" s="8" t="inlineStr"/>
      <c r="E76" s="8" t="inlineStr">
        <is>
          <t xml:space="preserve">LLAVERO EN ACERO EN 3 CM </t>
        </is>
      </c>
      <c r="F76" s="73" t="n">
        <v>1</v>
      </c>
      <c r="G76" s="9" t="n">
        <v>79</v>
      </c>
      <c r="H76" s="9" t="n">
        <v>79</v>
      </c>
    </row>
    <row r="77">
      <c r="A77" s="14" t="inlineStr">
        <is>
          <t>se851</t>
        </is>
      </c>
      <c r="B77" s="69" t="inlineStr">
        <is>
          <t>Terminado</t>
        </is>
      </c>
      <c r="C77" s="70" t="n">
        <v>45996</v>
      </c>
      <c r="D77" s="14" t="inlineStr"/>
      <c r="E77" s="14" t="inlineStr">
        <is>
          <t>CL02 Collar dije circular 2cm s/169</t>
        </is>
      </c>
      <c r="F77" s="71" t="n">
        <v>1</v>
      </c>
      <c r="G77" s="15" t="n">
        <v>194</v>
      </c>
      <c r="H77" s="15" t="n">
        <v>194</v>
      </c>
    </row>
    <row r="78">
      <c r="A78" s="8" t="inlineStr">
        <is>
          <t>se849</t>
        </is>
      </c>
      <c r="B78" s="69" t="inlineStr">
        <is>
          <t>Terminado</t>
        </is>
      </c>
      <c r="C78" s="72" t="n">
        <v>45996</v>
      </c>
      <c r="D78" s="8" t="inlineStr"/>
      <c r="E78" s="8" t="inlineStr">
        <is>
          <t>CL01 Collar dije circular 1.5cm s/149</t>
        </is>
      </c>
      <c r="F78" s="73" t="n">
        <v>1</v>
      </c>
      <c r="G78" s="9" t="n">
        <v>141</v>
      </c>
      <c r="H78" s="9" t="n">
        <v>153</v>
      </c>
    </row>
    <row r="79">
      <c r="A79" s="14" t="inlineStr">
        <is>
          <t>se850</t>
        </is>
      </c>
      <c r="B79" s="69" t="inlineStr">
        <is>
          <t>Terminado</t>
        </is>
      </c>
      <c r="C79" s="70" t="n">
        <v>45996</v>
      </c>
      <c r="D79" s="14" t="inlineStr"/>
      <c r="E79" s="14" t="inlineStr">
        <is>
          <t>dije personalizado en resina con pelito.</t>
        </is>
      </c>
      <c r="F79" s="71" t="n">
        <v>3</v>
      </c>
      <c r="G79" s="15" t="n">
        <v>267</v>
      </c>
      <c r="H79" s="15" t="n">
        <v>267</v>
      </c>
    </row>
    <row r="80">
      <c r="A80" s="8" t="inlineStr">
        <is>
          <t>se854</t>
        </is>
      </c>
      <c r="B80" s="69" t="inlineStr">
        <is>
          <t>Terminado</t>
        </is>
      </c>
      <c r="C80" s="72" t="n">
        <v>45996</v>
      </c>
      <c r="D80" s="8" t="inlineStr"/>
      <c r="E80" s="8" t="inlineStr">
        <is>
          <t>P01 Pulsera dije circular 2cm colgante  s/149</t>
        </is>
      </c>
      <c r="F80" s="73" t="n">
        <v>1</v>
      </c>
      <c r="G80" s="9" t="n">
        <v>145</v>
      </c>
      <c r="H80" s="9" t="n">
        <v>157</v>
      </c>
    </row>
    <row r="81">
      <c r="A81" s="14" t="inlineStr">
        <is>
          <t>se856</t>
        </is>
      </c>
      <c r="B81" s="69" t="inlineStr">
        <is>
          <t>Terminado</t>
        </is>
      </c>
      <c r="C81" s="70" t="n">
        <v>45997</v>
      </c>
      <c r="D81" s="14" t="inlineStr"/>
      <c r="E81" s="14" t="inlineStr">
        <is>
          <t>Reparación de Huellita y Pulsera para Dije</t>
        </is>
      </c>
      <c r="F81" s="71" t="n">
        <v>2</v>
      </c>
      <c r="G81" s="15" t="n">
        <v>55</v>
      </c>
      <c r="H81" s="15" t="n">
        <v>55</v>
      </c>
    </row>
    <row r="82">
      <c r="A82" s="8" t="inlineStr">
        <is>
          <t>se858</t>
        </is>
      </c>
      <c r="B82" s="69" t="inlineStr">
        <is>
          <t>Terminado</t>
        </is>
      </c>
      <c r="C82" s="72" t="n">
        <v>45997</v>
      </c>
      <c r="D82" s="8" t="inlineStr"/>
      <c r="E82" s="8" t="inlineStr">
        <is>
          <t>P07 Pulsera con hilo negro dije circular s/149</t>
        </is>
      </c>
      <c r="F82" s="73" t="n">
        <v>1</v>
      </c>
      <c r="G82" s="9" t="n">
        <v>126</v>
      </c>
      <c r="H82" s="9" t="n">
        <v>126</v>
      </c>
    </row>
    <row r="83">
      <c r="A83" s="14" t="inlineStr">
        <is>
          <t>se860</t>
        </is>
      </c>
      <c r="B83" s="69" t="inlineStr">
        <is>
          <t>Terminado</t>
        </is>
      </c>
      <c r="C83" s="70" t="n">
        <v>45997</v>
      </c>
      <c r="D83" s="14" t="inlineStr"/>
      <c r="E83" s="14" t="inlineStr">
        <is>
          <t xml:space="preserve">Collar corazón </t>
        </is>
      </c>
      <c r="F83" s="71" t="n">
        <v>1</v>
      </c>
      <c r="G83" s="15" t="n">
        <v>152</v>
      </c>
      <c r="H83" s="15" t="n">
        <v>164</v>
      </c>
    </row>
    <row r="84">
      <c r="A84" s="8" t="inlineStr">
        <is>
          <t>se859</t>
        </is>
      </c>
      <c r="B84" s="69" t="inlineStr">
        <is>
          <t>Terminado</t>
        </is>
      </c>
      <c r="C84" s="72" t="n">
        <v>46000</v>
      </c>
      <c r="D84" s="8" t="inlineStr"/>
      <c r="E84" s="8" t="inlineStr">
        <is>
          <t xml:space="preserve">dije con camara fotografica </t>
        </is>
      </c>
      <c r="F84" s="73" t="n">
        <v>1</v>
      </c>
      <c r="G84" s="9" t="n"/>
      <c r="H84" s="9" t="n">
        <v>1</v>
      </c>
    </row>
    <row r="85">
      <c r="A85" s="14" t="inlineStr">
        <is>
          <t>se861</t>
        </is>
      </c>
      <c r="B85" s="69" t="inlineStr">
        <is>
          <t>Terminado</t>
        </is>
      </c>
      <c r="C85" s="70" t="n">
        <v>46001</v>
      </c>
      <c r="D85" s="14" t="inlineStr"/>
      <c r="E85" s="14" t="inlineStr">
        <is>
          <t>CL02 Collar dije circular 2cm s/169</t>
        </is>
      </c>
      <c r="F85" s="71" t="n">
        <v>1</v>
      </c>
      <c r="G85" s="15" t="n">
        <v>154</v>
      </c>
      <c r="H85" s="15" t="n">
        <v>166</v>
      </c>
    </row>
    <row r="86">
      <c r="A86" s="8" t="inlineStr">
        <is>
          <t>se879</t>
        </is>
      </c>
      <c r="B86" s="69" t="inlineStr">
        <is>
          <t>Terminado</t>
        </is>
      </c>
      <c r="C86" s="72" t="n">
        <v>46001</v>
      </c>
      <c r="D86" s="8" t="inlineStr"/>
      <c r="E86" s="8" t="inlineStr">
        <is>
          <t>impresion de prueba</t>
        </is>
      </c>
      <c r="F86" s="73" t="n">
        <v>1</v>
      </c>
      <c r="G86" s="9" t="n"/>
      <c r="H86" s="9" t="n">
        <v>1</v>
      </c>
    </row>
    <row r="87">
      <c r="A87" s="14" t="inlineStr">
        <is>
          <t>TA-25</t>
        </is>
      </c>
      <c r="B87" s="69" t="inlineStr">
        <is>
          <t>Terminado</t>
        </is>
      </c>
      <c r="C87" s="70" t="n">
        <v>46001</v>
      </c>
      <c r="D87" s="14" t="inlineStr"/>
      <c r="E87" s="14" t="inlineStr">
        <is>
          <t>dije circular en oro con letra F con nacar piedra</t>
        </is>
      </c>
      <c r="F87" s="71" t="n">
        <v>1</v>
      </c>
      <c r="G87" s="15" t="n">
        <v>255</v>
      </c>
      <c r="H87" s="15" t="n">
        <v>255</v>
      </c>
    </row>
    <row r="88">
      <c r="A88" s="8" t="inlineStr">
        <is>
          <t>se873</t>
        </is>
      </c>
      <c r="B88" s="69" t="inlineStr">
        <is>
          <t>Terminado</t>
        </is>
      </c>
      <c r="C88" s="72" t="n">
        <v>46002</v>
      </c>
      <c r="D88" s="8" t="inlineStr"/>
      <c r="E88" s="8" t="inlineStr">
        <is>
          <t>Pulsera gruesa con dije impresion ambos lados</t>
        </is>
      </c>
      <c r="F88" s="73" t="n">
        <v>1</v>
      </c>
      <c r="G88" s="9" t="n">
        <v>219</v>
      </c>
      <c r="H88" s="9" t="n">
        <v>219</v>
      </c>
    </row>
    <row r="89">
      <c r="A89" s="14" t="inlineStr">
        <is>
          <t>se872</t>
        </is>
      </c>
      <c r="B89" s="69" t="inlineStr">
        <is>
          <t>Terminado</t>
        </is>
      </c>
      <c r="C89" s="70" t="n">
        <v>46002</v>
      </c>
      <c r="D89" s="14" t="inlineStr"/>
      <c r="E89" s="14" t="inlineStr">
        <is>
          <t>DL01 Dije circular solo 1.5cm s/119</t>
        </is>
      </c>
      <c r="F89" s="71" t="n">
        <v>1</v>
      </c>
      <c r="G89" s="15" t="n">
        <v>109</v>
      </c>
      <c r="H89" s="15" t="n">
        <v>109</v>
      </c>
    </row>
    <row r="90">
      <c r="A90" s="8" t="inlineStr">
        <is>
          <t>se867</t>
        </is>
      </c>
      <c r="B90" s="69" t="inlineStr">
        <is>
          <t>Terminado</t>
        </is>
      </c>
      <c r="C90" s="72" t="n">
        <v>46002</v>
      </c>
      <c r="D90" s="8" t="inlineStr"/>
      <c r="E90" s="8" t="inlineStr">
        <is>
          <t>pulsera gatito</t>
        </is>
      </c>
      <c r="F90" s="73" t="n">
        <v>1</v>
      </c>
      <c r="G90" s="9" t="n">
        <v>45</v>
      </c>
      <c r="H90" s="9" t="n">
        <v>45</v>
      </c>
    </row>
    <row r="91">
      <c r="A91" s="14" t="inlineStr">
        <is>
          <t>se870</t>
        </is>
      </c>
      <c r="B91" s="69" t="inlineStr">
        <is>
          <t>Terminado</t>
        </is>
      </c>
      <c r="C91" s="70" t="n">
        <v>46002</v>
      </c>
      <c r="D91" s="14" t="inlineStr"/>
      <c r="E91" s="14" t="inlineStr">
        <is>
          <t>P07 Pulsera con hilo negro dije circular s/149</t>
        </is>
      </c>
      <c r="F91" s="71" t="n">
        <v>1</v>
      </c>
      <c r="G91" s="15" t="n">
        <v>129</v>
      </c>
      <c r="H91" s="15" t="n">
        <v>129</v>
      </c>
    </row>
    <row r="92">
      <c r="A92" s="8" t="inlineStr">
        <is>
          <t>se869</t>
        </is>
      </c>
      <c r="B92" s="69" t="inlineStr">
        <is>
          <t>Terminado</t>
        </is>
      </c>
      <c r="C92" s="72" t="n">
        <v>46002</v>
      </c>
      <c r="D92" s="8" t="inlineStr"/>
      <c r="E92" s="8" t="inlineStr">
        <is>
          <t>aretes labrador</t>
        </is>
      </c>
      <c r="F92" s="73" t="n">
        <v>1</v>
      </c>
      <c r="G92" s="9" t="n">
        <v>45</v>
      </c>
      <c r="H92" s="9" t="n">
        <v>45</v>
      </c>
    </row>
    <row r="93">
      <c r="A93" s="14" t="inlineStr">
        <is>
          <t>se868</t>
        </is>
      </c>
      <c r="B93" s="69" t="inlineStr">
        <is>
          <t>Terminado</t>
        </is>
      </c>
      <c r="C93" s="70" t="n">
        <v>46002</v>
      </c>
      <c r="D93" s="14" t="inlineStr"/>
      <c r="E93" s="14" t="inlineStr">
        <is>
          <t>Aretes de huellita</t>
        </is>
      </c>
      <c r="F93" s="71" t="n">
        <v>1</v>
      </c>
      <c r="G93" s="15" t="n">
        <v>45</v>
      </c>
      <c r="H93" s="15" t="n">
        <v>45</v>
      </c>
    </row>
    <row r="94">
      <c r="A94" s="8" t="inlineStr">
        <is>
          <t>se865</t>
        </is>
      </c>
      <c r="B94" s="69" t="inlineStr">
        <is>
          <t>Terminado</t>
        </is>
      </c>
      <c r="C94" s="72" t="n">
        <v>46002</v>
      </c>
      <c r="D94" s="8" t="inlineStr"/>
      <c r="E94" s="8" t="inlineStr">
        <is>
          <t xml:space="preserve">Arete gatito </t>
        </is>
      </c>
      <c r="F94" s="73" t="n">
        <v>1</v>
      </c>
      <c r="G94" s="9" t="n">
        <v>45</v>
      </c>
      <c r="H94" s="9" t="n">
        <v>45</v>
      </c>
    </row>
    <row r="95">
      <c r="A95" s="14" t="inlineStr">
        <is>
          <t>se871</t>
        </is>
      </c>
      <c r="B95" s="69" t="inlineStr">
        <is>
          <t>Terminado</t>
        </is>
      </c>
      <c r="C95" s="70" t="n">
        <v>46002</v>
      </c>
      <c r="D95" s="14" t="inlineStr"/>
      <c r="E95" s="14" t="inlineStr">
        <is>
          <t>CL01 Collar dije circular 1.5cm s/149</t>
        </is>
      </c>
      <c r="F95" s="71" t="n">
        <v>1</v>
      </c>
      <c r="G95" s="15" t="n">
        <v>139</v>
      </c>
      <c r="H95" s="15" t="n">
        <v>139</v>
      </c>
    </row>
    <row r="96">
      <c r="A96" s="8" t="inlineStr">
        <is>
          <t>se878</t>
        </is>
      </c>
      <c r="B96" s="69" t="inlineStr">
        <is>
          <t>Terminado</t>
        </is>
      </c>
      <c r="C96" s="72" t="n">
        <v>46003</v>
      </c>
      <c r="D96" s="8" t="inlineStr"/>
      <c r="E96" s="8" t="inlineStr">
        <is>
          <t>P08 Pulsera con cadena s/169</t>
        </is>
      </c>
      <c r="F96" s="73" t="n">
        <v>1</v>
      </c>
      <c r="G96" s="9" t="n">
        <v>169</v>
      </c>
      <c r="H96" s="9" t="n">
        <v>169</v>
      </c>
    </row>
    <row r="97">
      <c r="A97" s="14" t="inlineStr">
        <is>
          <t>se884</t>
        </is>
      </c>
      <c r="B97" s="69" t="inlineStr">
        <is>
          <t>Terminado</t>
        </is>
      </c>
      <c r="C97" s="70" t="n">
        <v>46003</v>
      </c>
      <c r="D97" s="14" t="inlineStr"/>
      <c r="E97" s="14" t="inlineStr">
        <is>
          <t>Collar con dije con dos fotitos</t>
        </is>
      </c>
      <c r="F97" s="71" t="n">
        <v>1</v>
      </c>
      <c r="G97" s="15" t="n">
        <v>195</v>
      </c>
      <c r="H97" s="15" t="n">
        <v>207</v>
      </c>
    </row>
    <row r="98">
      <c r="A98" s="8" t="inlineStr">
        <is>
          <t>se877</t>
        </is>
      </c>
      <c r="B98" s="69" t="inlineStr">
        <is>
          <t>Terminado</t>
        </is>
      </c>
      <c r="C98" s="72" t="n">
        <v>46003</v>
      </c>
      <c r="D98" s="8" t="inlineStr"/>
      <c r="E98" s="8" t="inlineStr">
        <is>
          <t xml:space="preserve">Pulsera con huellita </t>
        </is>
      </c>
      <c r="F98" s="73" t="n">
        <v>1</v>
      </c>
      <c r="G98" s="9" t="n">
        <v>69</v>
      </c>
      <c r="H98" s="9" t="n">
        <v>69</v>
      </c>
    </row>
    <row r="99">
      <c r="A99" s="14" t="inlineStr">
        <is>
          <t>se874</t>
        </is>
      </c>
      <c r="B99" s="69" t="inlineStr">
        <is>
          <t>Terminado</t>
        </is>
      </c>
      <c r="C99" s="70" t="n">
        <v>46003</v>
      </c>
      <c r="D99" s="14" t="inlineStr"/>
      <c r="E99" s="14" t="inlineStr">
        <is>
          <t>Otros</t>
        </is>
      </c>
      <c r="F99" s="71" t="n">
        <v>2</v>
      </c>
      <c r="G99" s="15" t="n">
        <v>205</v>
      </c>
      <c r="H99" s="15" t="n">
        <v>205</v>
      </c>
    </row>
    <row r="100">
      <c r="A100" s="8" t="inlineStr">
        <is>
          <t>se875</t>
        </is>
      </c>
      <c r="B100" s="69" t="inlineStr">
        <is>
          <t>Terminado</t>
        </is>
      </c>
      <c r="C100" s="72" t="n">
        <v>46003</v>
      </c>
      <c r="D100" s="8" t="inlineStr"/>
      <c r="E100" s="8" t="inlineStr">
        <is>
          <t>P01 Pulsera dije circular 2cm colgante  s/149</t>
        </is>
      </c>
      <c r="F100" s="73" t="n">
        <v>1</v>
      </c>
      <c r="G100" s="9" t="n">
        <v>159</v>
      </c>
      <c r="H100" s="9" t="n">
        <v>159</v>
      </c>
    </row>
    <row r="101">
      <c r="A101" s="14" t="inlineStr">
        <is>
          <t>se862</t>
        </is>
      </c>
      <c r="B101" s="69" t="inlineStr">
        <is>
          <t>Terminado</t>
        </is>
      </c>
      <c r="C101" s="70" t="n">
        <v>46003</v>
      </c>
      <c r="D101" s="14" t="inlineStr"/>
      <c r="E101" s="14" t="inlineStr">
        <is>
          <t>P01 Pulsera dije circular 2cm colgante  s/149</t>
        </is>
      </c>
      <c r="F101" s="71" t="n">
        <v>1</v>
      </c>
      <c r="G101" s="15" t="n">
        <v>149</v>
      </c>
      <c r="H101" s="15" t="n">
        <v>161</v>
      </c>
    </row>
    <row r="102">
      <c r="A102" s="8" t="inlineStr">
        <is>
          <t>se876</t>
        </is>
      </c>
      <c r="B102" s="69" t="inlineStr">
        <is>
          <t>Terminado</t>
        </is>
      </c>
      <c r="C102" s="72" t="n">
        <v>46003</v>
      </c>
      <c r="D102" s="8" t="inlineStr"/>
      <c r="E102" s="8" t="inlineStr">
        <is>
          <t>Pulsera colgante con dos retratos adelante y uno atras</t>
        </is>
      </c>
      <c r="F102" s="73" t="n">
        <v>1</v>
      </c>
      <c r="G102" s="9" t="n">
        <v>129</v>
      </c>
      <c r="H102" s="9" t="n">
        <v>129</v>
      </c>
    </row>
    <row r="103">
      <c r="A103" s="14" t="inlineStr">
        <is>
          <t>se880</t>
        </is>
      </c>
      <c r="B103" s="69" t="inlineStr">
        <is>
          <t>Terminado</t>
        </is>
      </c>
      <c r="C103" s="70" t="n">
        <v>46004</v>
      </c>
      <c r="D103" s="14" t="inlineStr"/>
      <c r="E103" s="14" t="inlineStr">
        <is>
          <t>CL02 Collar dije circular 2cm s/169</t>
        </is>
      </c>
      <c r="F103" s="71" t="n">
        <v>1</v>
      </c>
      <c r="G103" s="15" t="n">
        <v>169</v>
      </c>
      <c r="H103" s="15" t="n">
        <v>181</v>
      </c>
    </row>
    <row r="104">
      <c r="A104" s="8" t="inlineStr">
        <is>
          <t>se881</t>
        </is>
      </c>
      <c r="B104" s="69" t="inlineStr">
        <is>
          <t>Terminado</t>
        </is>
      </c>
      <c r="C104" s="72" t="n">
        <v>46004</v>
      </c>
      <c r="D104" s="8" t="inlineStr"/>
      <c r="E104" s="8" t="inlineStr">
        <is>
          <t xml:space="preserve"> huellita pulsera</t>
        </is>
      </c>
      <c r="F104" s="73" t="n">
        <v>1</v>
      </c>
      <c r="G104" s="9" t="n">
        <v>45</v>
      </c>
      <c r="H104" s="9" t="n">
        <v>45</v>
      </c>
    </row>
    <row r="105">
      <c r="A105" s="14" t="inlineStr">
        <is>
          <t>se882</t>
        </is>
      </c>
      <c r="B105" s="69" t="inlineStr">
        <is>
          <t>Terminado</t>
        </is>
      </c>
      <c r="C105" s="70" t="n">
        <v>46004</v>
      </c>
      <c r="D105" s="14" t="inlineStr"/>
      <c r="E105" s="14" t="inlineStr">
        <is>
          <t>01 pulsera con cabecita de mascotita en silueta</t>
        </is>
      </c>
      <c r="F105" s="71" t="n">
        <v>1</v>
      </c>
      <c r="G105" s="15" t="n">
        <v>169</v>
      </c>
      <c r="H105" s="15" t="n">
        <v>169</v>
      </c>
    </row>
    <row r="106">
      <c r="A106" s="8" t="inlineStr">
        <is>
          <t>se883</t>
        </is>
      </c>
      <c r="B106" s="69" t="inlineStr">
        <is>
          <t>Terminado</t>
        </is>
      </c>
      <c r="C106" s="72" t="n">
        <v>46004</v>
      </c>
      <c r="D106" s="8" t="inlineStr"/>
      <c r="E106" s="8" t="inlineStr">
        <is>
          <t>pulsera con 3 fotos</t>
        </is>
      </c>
      <c r="F106" s="73" t="n">
        <v>1</v>
      </c>
      <c r="G106" s="9" t="n">
        <v>229</v>
      </c>
      <c r="H106" s="9" t="n">
        <v>229</v>
      </c>
    </row>
    <row r="107">
      <c r="A107" s="14" t="inlineStr">
        <is>
          <t>se888</t>
        </is>
      </c>
      <c r="B107" s="69" t="inlineStr">
        <is>
          <t>Terminado</t>
        </is>
      </c>
      <c r="C107" s="70" t="n">
        <v>46006</v>
      </c>
      <c r="D107" s="14" t="inlineStr"/>
      <c r="E107" s="14" t="inlineStr">
        <is>
          <t>Pulsera ajustable con dije schnauzer en plata con nombr</t>
        </is>
      </c>
      <c r="F107" s="71" t="n">
        <v>1</v>
      </c>
      <c r="G107" s="15" t="n">
        <v>69</v>
      </c>
      <c r="H107" s="15" t="n">
        <v>69</v>
      </c>
    </row>
    <row r="108">
      <c r="A108" s="8" t="inlineStr">
        <is>
          <t>se887</t>
        </is>
      </c>
      <c r="B108" s="69" t="inlineStr">
        <is>
          <t>Terminado</t>
        </is>
      </c>
      <c r="C108" s="72" t="n">
        <v>46006</v>
      </c>
      <c r="D108" s="8" t="inlineStr"/>
      <c r="E108" s="8" t="inlineStr">
        <is>
          <t>Pedidos</t>
        </is>
      </c>
      <c r="F108" s="73" t="n">
        <v>2</v>
      </c>
      <c r="G108" s="9" t="n">
        <v>130</v>
      </c>
      <c r="H108" s="9" t="n">
        <v>130</v>
      </c>
    </row>
    <row r="109">
      <c r="A109" s="14" t="inlineStr">
        <is>
          <t>se885</t>
        </is>
      </c>
      <c r="B109" s="69" t="inlineStr">
        <is>
          <t>Terminado</t>
        </is>
      </c>
      <c r="C109" s="70" t="n">
        <v>46006</v>
      </c>
      <c r="D109" s="14" t="inlineStr"/>
      <c r="E109" s="14" t="inlineStr">
        <is>
          <t xml:space="preserve">Dije de huellita con cadenita </t>
        </is>
      </c>
      <c r="F109" s="71" t="n">
        <v>1</v>
      </c>
      <c r="G109" s="15" t="n">
        <v>119</v>
      </c>
      <c r="H109" s="15" t="n">
        <v>131</v>
      </c>
    </row>
    <row r="110">
      <c r="A110" s="8" t="inlineStr">
        <is>
          <t>se889</t>
        </is>
      </c>
      <c r="B110" s="69" t="inlineStr">
        <is>
          <t>Terminado</t>
        </is>
      </c>
      <c r="C110" s="72" t="n">
        <v>46007</v>
      </c>
      <c r="D110" s="8" t="inlineStr"/>
      <c r="E110" s="8" t="inlineStr">
        <is>
          <t>CL02 Collar dije circular 2cm s/169</t>
        </is>
      </c>
      <c r="F110" s="73" t="n">
        <v>1</v>
      </c>
      <c r="G110" s="9" t="n">
        <v>159</v>
      </c>
      <c r="H110" s="9" t="n">
        <v>2</v>
      </c>
    </row>
    <row r="111">
      <c r="A111" s="14" t="inlineStr">
        <is>
          <t>se886</t>
        </is>
      </c>
      <c r="B111" s="69" t="inlineStr">
        <is>
          <t>Terminado</t>
        </is>
      </c>
      <c r="C111" s="70" t="n">
        <v>46007</v>
      </c>
      <c r="D111" s="14" t="inlineStr"/>
      <c r="E111" s="14" t="inlineStr">
        <is>
          <t>P07 Pulsera con hilo negro dije circular s/149</t>
        </is>
      </c>
      <c r="F111" s="71" t="n">
        <v>2</v>
      </c>
      <c r="G111" s="15" t="n">
        <v>298</v>
      </c>
      <c r="H111" s="15" t="n">
        <v>298</v>
      </c>
    </row>
    <row r="112">
      <c r="A112" s="8" t="inlineStr">
        <is>
          <t>se890</t>
        </is>
      </c>
      <c r="B112" s="69" t="inlineStr">
        <is>
          <t>Terminado</t>
        </is>
      </c>
      <c r="C112" s="72" t="n">
        <v>46010</v>
      </c>
      <c r="D112" s="8" t="inlineStr"/>
      <c r="E112" s="8" t="inlineStr">
        <is>
          <t>DL01 Dije circular solo 1.5cm s/119, P07 Pulsera con hi</t>
        </is>
      </c>
      <c r="F112" s="73" t="n">
        <v>3</v>
      </c>
      <c r="G112" s="9" t="n">
        <v>83</v>
      </c>
      <c r="H112" s="9" t="n"/>
    </row>
    <row r="113">
      <c r="A113" s="14" t="inlineStr">
        <is>
          <t>se891</t>
        </is>
      </c>
      <c r="B113" s="69" t="inlineStr">
        <is>
          <t>Terminado</t>
        </is>
      </c>
      <c r="C113" s="70" t="n">
        <v>46010</v>
      </c>
      <c r="D113" s="14" t="inlineStr"/>
      <c r="E113" s="14" t="inlineStr">
        <is>
          <t>P07 Pulsera con hilo negro dije circular s/149</t>
        </is>
      </c>
      <c r="F113" s="71" t="n">
        <v>1</v>
      </c>
      <c r="G113" s="15" t="n">
        <v>195</v>
      </c>
      <c r="H113" s="15" t="n">
        <v>207</v>
      </c>
    </row>
    <row r="114">
      <c r="A114" s="8" t="inlineStr">
        <is>
          <t>se892</t>
        </is>
      </c>
      <c r="B114" s="69" t="inlineStr">
        <is>
          <t>Terminado</t>
        </is>
      </c>
      <c r="C114" s="72" t="n">
        <v>46013</v>
      </c>
      <c r="D114" s="8" t="inlineStr"/>
      <c r="E114" s="8" t="inlineStr">
        <is>
          <t xml:space="preserve">Dos dijes </t>
        </is>
      </c>
      <c r="F114" s="73" t="n">
        <v>2</v>
      </c>
      <c r="G114" s="9" t="n">
        <v>258</v>
      </c>
      <c r="H114" s="9" t="n">
        <v>270</v>
      </c>
    </row>
    <row r="115">
      <c r="A115" s="14" t="inlineStr">
        <is>
          <t>se893</t>
        </is>
      </c>
      <c r="B115" s="69" t="inlineStr">
        <is>
          <t>Terminado</t>
        </is>
      </c>
      <c r="C115" s="70" t="n">
        <v>46013</v>
      </c>
      <c r="D115" s="14" t="inlineStr"/>
      <c r="E115" s="14" t="inlineStr">
        <is>
          <t>P01 Pulsera dije circular 2cm colgante  s/149</t>
        </is>
      </c>
      <c r="F115" s="71" t="n">
        <v>1</v>
      </c>
      <c r="G115" s="15" t="n">
        <v>149</v>
      </c>
      <c r="H115" s="15" t="n">
        <v>159</v>
      </c>
    </row>
    <row r="116">
      <c r="A116" s="8" t="inlineStr">
        <is>
          <t>se894</t>
        </is>
      </c>
      <c r="B116" s="69" t="inlineStr">
        <is>
          <t>Terminado</t>
        </is>
      </c>
      <c r="C116" s="72" t="n">
        <v>46013</v>
      </c>
      <c r="D116" s="8" t="inlineStr"/>
      <c r="E116" s="8" t="inlineStr">
        <is>
          <t>P08 Pulsera con cadena s/169</t>
        </is>
      </c>
      <c r="F116" s="73" t="n">
        <v>1</v>
      </c>
      <c r="G116" s="9" t="n">
        <v>169</v>
      </c>
      <c r="H116" s="9" t="n">
        <v>181</v>
      </c>
    </row>
    <row r="117">
      <c r="A117" s="14" t="inlineStr">
        <is>
          <t>se895</t>
        </is>
      </c>
      <c r="B117" s="69" t="inlineStr">
        <is>
          <t>Terminado</t>
        </is>
      </c>
      <c r="C117" s="70" t="n">
        <v>46021</v>
      </c>
      <c r="D117" s="14" t="inlineStr"/>
      <c r="E117" s="14" t="inlineStr">
        <is>
          <t>P02 Pulsera dije circular 2cm con huecos s/149</t>
        </is>
      </c>
      <c r="F117" s="71" t="n">
        <v>1</v>
      </c>
      <c r="G117" s="15" t="n">
        <v>179</v>
      </c>
      <c r="H117" s="15" t="n">
        <v>179</v>
      </c>
    </row>
    <row r="118">
      <c r="A118" s="8" t="inlineStr">
        <is>
          <t>se896</t>
        </is>
      </c>
      <c r="B118" s="69" t="inlineStr">
        <is>
          <t>Terminado</t>
        </is>
      </c>
      <c r="C118" s="72" t="n">
        <v>46035</v>
      </c>
      <c r="D118" s="8" t="inlineStr"/>
      <c r="E118" s="8" t="inlineStr">
        <is>
          <t>CL02 Collar dije circular 2cm s/169</t>
        </is>
      </c>
      <c r="F118" s="73" t="n">
        <v>1</v>
      </c>
      <c r="G118" s="9" t="n">
        <v>169</v>
      </c>
      <c r="H118" s="9" t="n">
        <v>181</v>
      </c>
    </row>
    <row r="119">
      <c r="A119" s="14" t="inlineStr">
        <is>
          <t>se897</t>
        </is>
      </c>
      <c r="B119" s="69" t="inlineStr">
        <is>
          <t>Terminado</t>
        </is>
      </c>
      <c r="C119" s="70" t="n">
        <v>46050</v>
      </c>
      <c r="D119" s="14" t="inlineStr"/>
      <c r="E119" s="14" t="inlineStr">
        <is>
          <t xml:space="preserve">Collar dije ovalado </t>
        </is>
      </c>
      <c r="F119" s="71" t="n">
        <v>1</v>
      </c>
      <c r="G119" s="15" t="n">
        <v>165</v>
      </c>
      <c r="H119" s="15" t="n">
        <v>177</v>
      </c>
    </row>
    <row r="120">
      <c r="A120" s="8" t="inlineStr">
        <is>
          <t>se899</t>
        </is>
      </c>
      <c r="B120" s="69" t="inlineStr">
        <is>
          <t>Terminado</t>
        </is>
      </c>
      <c r="C120" s="72" t="n">
        <v>46051</v>
      </c>
      <c r="D120" s="8" t="inlineStr"/>
      <c r="E120" s="8" t="inlineStr">
        <is>
          <t>Collar con dije silueta 179 soles</t>
        </is>
      </c>
      <c r="F120" s="73" t="n">
        <v>1</v>
      </c>
      <c r="G120" s="9" t="n">
        <v>179</v>
      </c>
      <c r="H120" s="9" t="n">
        <v>179</v>
      </c>
    </row>
    <row r="121">
      <c r="A121" s="14" t="inlineStr">
        <is>
          <t>se900</t>
        </is>
      </c>
      <c r="B121" s="69" t="inlineStr">
        <is>
          <t>Terminado</t>
        </is>
      </c>
      <c r="C121" s="70" t="n">
        <v>46052</v>
      </c>
      <c r="D121" s="14" t="inlineStr"/>
      <c r="E121" s="14" t="inlineStr">
        <is>
          <t>CL02 Collar dije circular 2cm s/169</t>
        </is>
      </c>
      <c r="F121" s="71" t="n">
        <v>1</v>
      </c>
      <c r="G121" s="15" t="n">
        <v>184</v>
      </c>
      <c r="H121" s="15" t="n">
        <v>196</v>
      </c>
    </row>
    <row r="122">
      <c r="A122" s="8" t="inlineStr">
        <is>
          <t>se901</t>
        </is>
      </c>
      <c r="B122" s="69" t="inlineStr">
        <is>
          <t>Terminado</t>
        </is>
      </c>
      <c r="C122" s="72" t="n">
        <v>46052</v>
      </c>
      <c r="D122" s="8" t="inlineStr"/>
      <c r="E122" s="8" t="inlineStr">
        <is>
          <t>Dije</t>
        </is>
      </c>
      <c r="F122" s="73" t="n">
        <v>1</v>
      </c>
      <c r="G122" s="9" t="n">
        <v>179</v>
      </c>
      <c r="H122" s="9" t="n">
        <v>179</v>
      </c>
    </row>
    <row r="123">
      <c r="A123" s="14" t="inlineStr">
        <is>
          <t>se898</t>
        </is>
      </c>
      <c r="B123" s="69" t="inlineStr">
        <is>
          <t>Terminado</t>
        </is>
      </c>
      <c r="C123" s="70" t="n">
        <v>46053</v>
      </c>
      <c r="D123" s="14" t="inlineStr"/>
      <c r="E123" s="14" t="inlineStr">
        <is>
          <t>DL02 Dije circular solo 2cm s/139</t>
        </is>
      </c>
      <c r="F123" s="71" t="n">
        <v>1</v>
      </c>
      <c r="G123" s="15" t="n">
        <v>1</v>
      </c>
      <c r="H123" s="15" t="n">
        <v>2</v>
      </c>
    </row>
    <row r="124">
      <c r="A124" s="8" t="inlineStr">
        <is>
          <t>se905</t>
        </is>
      </c>
      <c r="B124" s="69" t="inlineStr">
        <is>
          <t>Terminado</t>
        </is>
      </c>
      <c r="C124" s="72" t="n">
        <v>46057</v>
      </c>
      <c r="D124" s="8" t="inlineStr"/>
      <c r="E124" s="8" t="inlineStr">
        <is>
          <t>Dije de Huella para collar</t>
        </is>
      </c>
      <c r="F124" s="73" t="n">
        <v>1</v>
      </c>
      <c r="G124" s="9" t="n">
        <v>59</v>
      </c>
      <c r="H124" s="9" t="n">
        <v>59</v>
      </c>
    </row>
    <row r="125">
      <c r="A125" s="14" t="inlineStr">
        <is>
          <t>se907</t>
        </is>
      </c>
      <c r="B125" s="69" t="inlineStr">
        <is>
          <t>Terminado</t>
        </is>
      </c>
      <c r="C125" s="70" t="n">
        <v>46057</v>
      </c>
      <c r="D125" s="14" t="inlineStr"/>
      <c r="E125" s="14" t="inlineStr">
        <is>
          <t>Aretes salchicha</t>
        </is>
      </c>
      <c r="F125" s="71" t="n">
        <v>1</v>
      </c>
      <c r="G125" s="15" t="n">
        <v>50</v>
      </c>
      <c r="H125" s="15" t="n">
        <v>50</v>
      </c>
    </row>
    <row r="126">
      <c r="A126" s="8" t="inlineStr">
        <is>
          <t>se904</t>
        </is>
      </c>
      <c r="B126" s="69" t="inlineStr">
        <is>
          <t>Terminado</t>
        </is>
      </c>
      <c r="C126" s="72" t="n">
        <v>46058</v>
      </c>
      <c r="D126" s="8" t="inlineStr"/>
      <c r="E126" s="8" t="inlineStr">
        <is>
          <t xml:space="preserve">Collar con dije silueta de cabeza </t>
        </is>
      </c>
      <c r="F126" s="73" t="n">
        <v>1</v>
      </c>
      <c r="G126" s="9" t="n">
        <v>179</v>
      </c>
      <c r="H126" s="9" t="n">
        <v>179</v>
      </c>
    </row>
    <row r="127">
      <c r="A127" s="14" t="inlineStr">
        <is>
          <t>se902</t>
        </is>
      </c>
      <c r="B127" s="69" t="inlineStr">
        <is>
          <t>Terminado</t>
        </is>
      </c>
      <c r="C127" s="70" t="n">
        <v>46059</v>
      </c>
      <c r="D127" s="14" t="inlineStr"/>
      <c r="E127" s="14" t="inlineStr">
        <is>
          <t>CL01 Collar dije circular 1.5cm s/149</t>
        </is>
      </c>
      <c r="F127" s="71" t="n">
        <v>1</v>
      </c>
      <c r="G127" s="15" t="n">
        <v>149</v>
      </c>
      <c r="H127" s="15" t="n">
        <v>161</v>
      </c>
    </row>
    <row r="128">
      <c r="A128" s="8" t="inlineStr">
        <is>
          <t>se906</t>
        </is>
      </c>
      <c r="B128" s="69" t="inlineStr">
        <is>
          <t>Terminado</t>
        </is>
      </c>
      <c r="C128" s="72" t="n">
        <v>46059</v>
      </c>
      <c r="D128" s="8" t="inlineStr"/>
      <c r="E128" s="8" t="inlineStr">
        <is>
          <t>01 un collar con dije silueta de cabeza</t>
        </is>
      </c>
      <c r="F128" s="73" t="n">
        <v>1</v>
      </c>
      <c r="G128" s="9" t="n">
        <v>179</v>
      </c>
      <c r="H128" s="9" t="n">
        <v>197</v>
      </c>
    </row>
    <row r="129">
      <c r="A129" s="14" t="inlineStr">
        <is>
          <t>se903</t>
        </is>
      </c>
      <c r="B129" s="69" t="inlineStr">
        <is>
          <t>Terminado</t>
        </is>
      </c>
      <c r="C129" s="70" t="n">
        <v>46059</v>
      </c>
      <c r="D129" s="14" t="inlineStr"/>
      <c r="E129" s="14" t="inlineStr">
        <is>
          <t xml:space="preserve">Pulsera negra con dije circular de acero </t>
        </is>
      </c>
      <c r="F129" s="71" t="n">
        <v>1</v>
      </c>
      <c r="G129" s="15" t="n">
        <v>69</v>
      </c>
      <c r="H129" s="15" t="n">
        <v>69</v>
      </c>
    </row>
    <row r="130">
      <c r="A130" s="8" t="inlineStr">
        <is>
          <t>se908</t>
        </is>
      </c>
      <c r="B130" s="69" t="inlineStr">
        <is>
          <t>Terminado</t>
        </is>
      </c>
      <c r="C130" s="72" t="n">
        <v>46065</v>
      </c>
      <c r="D130" s="8" t="inlineStr"/>
      <c r="E130" s="8" t="inlineStr">
        <is>
          <t>P06 Pulsera con hilo negro dije oval s/149</t>
        </is>
      </c>
      <c r="F130" s="73" t="n">
        <v>1</v>
      </c>
      <c r="G130" s="9" t="n">
        <v>164</v>
      </c>
      <c r="H130" s="9" t="n">
        <v>164</v>
      </c>
    </row>
    <row r="131">
      <c r="A131" s="14" t="inlineStr">
        <is>
          <t>se910</t>
        </is>
      </c>
      <c r="B131" s="69" t="inlineStr">
        <is>
          <t>Terminado</t>
        </is>
      </c>
      <c r="C131" s="70" t="n">
        <v>46065</v>
      </c>
      <c r="D131" s="14" t="inlineStr"/>
      <c r="E131" s="14" t="inlineStr">
        <is>
          <t>P03 Pulsera dije circular 2cm con orejas s/149</t>
        </is>
      </c>
      <c r="F131" s="71" t="n">
        <v>2</v>
      </c>
      <c r="G131" s="15" t="n">
        <v>310</v>
      </c>
      <c r="H131" s="15" t="n">
        <v>322</v>
      </c>
    </row>
    <row r="132">
      <c r="A132" s="8" t="inlineStr">
        <is>
          <t>se911</t>
        </is>
      </c>
      <c r="B132" s="69" t="inlineStr">
        <is>
          <t>Terminado</t>
        </is>
      </c>
      <c r="C132" s="72" t="n">
        <v>46065</v>
      </c>
      <c r="D132" s="8" t="inlineStr"/>
      <c r="E132" s="8" t="inlineStr">
        <is>
          <t>P03 Pulsera dije circular 2cm con orejas s/149</t>
        </is>
      </c>
      <c r="F132" s="73" t="n">
        <v>1</v>
      </c>
      <c r="G132" s="9" t="n">
        <v>199</v>
      </c>
      <c r="H132" s="9" t="n">
        <v>211</v>
      </c>
    </row>
    <row r="133">
      <c r="A133" s="14" t="inlineStr">
        <is>
          <t>se914</t>
        </is>
      </c>
      <c r="B133" s="69" t="inlineStr">
        <is>
          <t>Terminado</t>
        </is>
      </c>
      <c r="C133" s="70" t="n">
        <v>46065</v>
      </c>
      <c r="D133" s="14" t="inlineStr"/>
      <c r="E133" s="14" t="inlineStr">
        <is>
          <t>pulsera Westie. Con grabado E&amp;L. Tamaño de la pulsera a</t>
        </is>
      </c>
      <c r="F133" s="71" t="n">
        <v>1</v>
      </c>
      <c r="G133" s="15" t="n">
        <v>109</v>
      </c>
      <c r="H133" s="15" t="n">
        <v>109</v>
      </c>
    </row>
    <row r="134">
      <c r="A134" s="8" t="inlineStr">
        <is>
          <t>se909</t>
        </is>
      </c>
      <c r="B134" s="69" t="inlineStr">
        <is>
          <t>Terminado</t>
        </is>
      </c>
      <c r="C134" s="72" t="n">
        <v>46066</v>
      </c>
      <c r="D134" s="8" t="inlineStr"/>
      <c r="E134" s="8" t="inlineStr">
        <is>
          <t>Collar modelo cabecita</t>
        </is>
      </c>
      <c r="F134" s="73" t="n">
        <v>1</v>
      </c>
      <c r="G134" s="9" t="n">
        <v>190</v>
      </c>
      <c r="H134" s="9" t="n">
        <v>202</v>
      </c>
    </row>
    <row r="135">
      <c r="A135" s="14" t="inlineStr">
        <is>
          <t>se912</t>
        </is>
      </c>
      <c r="B135" s="69" t="inlineStr">
        <is>
          <t>Terminado</t>
        </is>
      </c>
      <c r="C135" s="70" t="n">
        <v>46066</v>
      </c>
      <c r="D135" s="14" t="inlineStr"/>
      <c r="E135" s="14" t="inlineStr">
        <is>
          <t>Un collar acero dorado y una pulsera. 2 pedidos</t>
        </is>
      </c>
      <c r="F135" s="71" t="n">
        <v>2</v>
      </c>
      <c r="G135" s="15" t="n">
        <v>158</v>
      </c>
      <c r="H135" s="15" t="n">
        <v>170</v>
      </c>
    </row>
    <row r="136">
      <c r="A136" s="8" t="inlineStr">
        <is>
          <t>se913</t>
        </is>
      </c>
      <c r="B136" s="69" t="inlineStr">
        <is>
          <t>Terminado</t>
        </is>
      </c>
      <c r="C136" s="72" t="n">
        <v>46066</v>
      </c>
      <c r="D136" s="8" t="inlineStr"/>
      <c r="E136" s="8" t="inlineStr">
        <is>
          <t>P07 Pulsera con hilo negro dije circular s/149</t>
        </is>
      </c>
      <c r="F136" s="73" t="n">
        <v>1</v>
      </c>
      <c r="G136" s="9" t="n">
        <v>149</v>
      </c>
      <c r="H136" s="9" t="n">
        <v>161</v>
      </c>
    </row>
    <row r="137">
      <c r="A137" s="14" t="inlineStr">
        <is>
          <t>se916</t>
        </is>
      </c>
      <c r="B137" s="69" t="inlineStr">
        <is>
          <t>Terminado</t>
        </is>
      </c>
      <c r="C137" s="70" t="n">
        <v>46076</v>
      </c>
      <c r="D137" s="14" t="inlineStr"/>
      <c r="E137" s="14" t="inlineStr">
        <is>
          <t>P03 Pulsera dije circular 2cm con orejas s/149</t>
        </is>
      </c>
      <c r="F137" s="71" t="n">
        <v>1</v>
      </c>
      <c r="G137" s="15" t="n">
        <v>169</v>
      </c>
      <c r="H137" s="15" t="n">
        <v>181</v>
      </c>
    </row>
    <row r="138">
      <c r="A138" s="8" t="inlineStr">
        <is>
          <t>se915</t>
        </is>
      </c>
      <c r="B138" s="74" t="inlineStr">
        <is>
          <t>Impresión</t>
        </is>
      </c>
      <c r="C138" s="72" t="n">
        <v>46076</v>
      </c>
      <c r="D138" s="8" t="inlineStr"/>
      <c r="E138" s="8" t="inlineStr">
        <is>
          <t>dije</t>
        </is>
      </c>
      <c r="F138" s="73" t="n">
        <v>1</v>
      </c>
      <c r="G138" s="9" t="n"/>
      <c r="H138" s="9" t="n"/>
    </row>
    <row r="139">
      <c r="A139" s="14" t="inlineStr">
        <is>
          <t>se917</t>
        </is>
      </c>
      <c r="B139" s="69" t="inlineStr">
        <is>
          <t>Terminado</t>
        </is>
      </c>
      <c r="C139" s="70" t="n">
        <v>46078</v>
      </c>
      <c r="D139" s="14" t="inlineStr"/>
      <c r="E139" s="14" t="inlineStr">
        <is>
          <t xml:space="preserve">Pulsera huella </t>
        </is>
      </c>
      <c r="F139" s="71" t="n">
        <v>1</v>
      </c>
      <c r="G139" s="15" t="n">
        <v>69</v>
      </c>
      <c r="H139" s="15" t="n">
        <v>79</v>
      </c>
    </row>
    <row r="140">
      <c r="A140" s="8" t="inlineStr">
        <is>
          <t>se919</t>
        </is>
      </c>
      <c r="B140" s="69" t="inlineStr">
        <is>
          <t>Terminado</t>
        </is>
      </c>
      <c r="C140" s="72" t="n">
        <v>46083</v>
      </c>
      <c r="D140" s="8" t="inlineStr"/>
      <c r="E140" s="8" t="inlineStr">
        <is>
          <t>Pulsera Huella s/69</t>
        </is>
      </c>
      <c r="F140" s="73" t="n">
        <v>1</v>
      </c>
      <c r="G140" s="9" t="n">
        <v>69</v>
      </c>
      <c r="H140" s="9" t="n">
        <v>69</v>
      </c>
    </row>
    <row r="141">
      <c r="A141" s="14" t="inlineStr">
        <is>
          <t>se918</t>
        </is>
      </c>
      <c r="B141" s="69" t="inlineStr">
        <is>
          <t>Terminado</t>
        </is>
      </c>
      <c r="C141" s="70" t="n">
        <v>46083</v>
      </c>
      <c r="D141" s="14" t="inlineStr"/>
      <c r="E141" s="14" t="inlineStr">
        <is>
          <t>Pulsera Huella  s/69</t>
        </is>
      </c>
      <c r="F141" s="71" t="n">
        <v>1</v>
      </c>
      <c r="G141" s="15" t="n">
        <v>69</v>
      </c>
      <c r="H141" s="15" t="n">
        <v>81</v>
      </c>
    </row>
    <row r="142">
      <c r="A142" s="8" t="inlineStr">
        <is>
          <t>se920</t>
        </is>
      </c>
      <c r="B142" s="69" t="inlineStr">
        <is>
          <t>Terminado</t>
        </is>
      </c>
      <c r="C142" s="72" t="n">
        <v>46090</v>
      </c>
      <c r="D142" s="8" t="inlineStr"/>
      <c r="E142" s="8" t="inlineStr">
        <is>
          <t>CL02 Collar dije circular 2cm s/169</t>
        </is>
      </c>
      <c r="F142" s="73" t="n">
        <v>1</v>
      </c>
      <c r="G142" s="9" t="n">
        <v>1</v>
      </c>
      <c r="H142" s="9" t="n">
        <v>13</v>
      </c>
    </row>
    <row r="143">
      <c r="A143" s="14" t="inlineStr">
        <is>
          <t>se921</t>
        </is>
      </c>
      <c r="B143" s="69" t="inlineStr">
        <is>
          <t>Terminado</t>
        </is>
      </c>
      <c r="C143" s="70" t="n">
        <v>46093</v>
      </c>
      <c r="D143" s="14" t="inlineStr"/>
      <c r="E143" s="14" t="inlineStr">
        <is>
          <t>Collar dije corazón y pulsera con cadena dije corazón 2</t>
        </is>
      </c>
      <c r="F143" s="71" t="n">
        <v>2</v>
      </c>
      <c r="G143" s="15" t="n">
        <v>169</v>
      </c>
      <c r="H143" s="15" t="n">
        <v>169</v>
      </c>
    </row>
    <row r="144">
      <c r="A144" s="8" t="inlineStr">
        <is>
          <t>se923</t>
        </is>
      </c>
      <c r="B144" s="69" t="inlineStr">
        <is>
          <t>Terminado</t>
        </is>
      </c>
      <c r="C144" s="72" t="n">
        <v>46093</v>
      </c>
      <c r="D144" s="8" t="inlineStr"/>
      <c r="E144" s="8" t="inlineStr">
        <is>
          <t xml:space="preserve">P08 Pulsera con cadena s/169, Pulsera con cadena forma </t>
        </is>
      </c>
      <c r="F144" s="73" t="n">
        <v>1</v>
      </c>
      <c r="G144" s="9" t="n">
        <v>169</v>
      </c>
      <c r="H144" s="9" t="n">
        <v>169</v>
      </c>
    </row>
    <row r="145">
      <c r="A145" s="14" t="inlineStr">
        <is>
          <t>se927</t>
        </is>
      </c>
      <c r="B145" s="69" t="inlineStr">
        <is>
          <t>Terminado</t>
        </is>
      </c>
      <c r="C145" s="70" t="n">
        <v>46093</v>
      </c>
      <c r="D145" s="14" t="inlineStr"/>
      <c r="E145" s="14" t="inlineStr">
        <is>
          <t>X</t>
        </is>
      </c>
      <c r="F145" s="71" t="n">
        <v>1</v>
      </c>
      <c r="G145" s="15" t="n">
        <v>1</v>
      </c>
      <c r="H145" s="15" t="n">
        <v>2</v>
      </c>
    </row>
    <row r="146">
      <c r="A146" s="8" t="inlineStr">
        <is>
          <t>se922</t>
        </is>
      </c>
      <c r="B146" s="69" t="inlineStr">
        <is>
          <t>Terminado</t>
        </is>
      </c>
      <c r="C146" s="72" t="n">
        <v>46097</v>
      </c>
      <c r="D146" s="8" t="inlineStr"/>
      <c r="E146" s="8" t="inlineStr">
        <is>
          <t>P07 Pulsera con hilo negro dije circular s/149</t>
        </is>
      </c>
      <c r="F146" s="73" t="n">
        <v>1</v>
      </c>
      <c r="G146" s="9" t="n">
        <v>149</v>
      </c>
      <c r="H146" s="9" t="n">
        <v>161</v>
      </c>
    </row>
    <row r="147">
      <c r="A147" s="14" t="inlineStr">
        <is>
          <t>se924</t>
        </is>
      </c>
      <c r="B147" s="69" t="inlineStr">
        <is>
          <t>Terminado</t>
        </is>
      </c>
      <c r="C147" s="70" t="n">
        <v>46097</v>
      </c>
      <c r="D147" s="14" t="inlineStr"/>
      <c r="E147" s="14" t="inlineStr">
        <is>
          <t>dijes 2cm acero plateado</t>
        </is>
      </c>
      <c r="F147" s="71" t="n">
        <v>3</v>
      </c>
      <c r="G147" s="15" t="n">
        <v>1</v>
      </c>
      <c r="H147" s="15" t="n">
        <v>1</v>
      </c>
    </row>
    <row r="148">
      <c r="A148" s="8" t="inlineStr">
        <is>
          <t>se925</t>
        </is>
      </c>
      <c r="B148" s="69" t="inlineStr">
        <is>
          <t>Terminado</t>
        </is>
      </c>
      <c r="C148" s="72" t="n">
        <v>46097</v>
      </c>
      <c r="D148" s="8" t="inlineStr"/>
      <c r="E148" s="8" t="inlineStr">
        <is>
          <t xml:space="preserve">dijes dorados 06 </t>
        </is>
      </c>
      <c r="F148" s="73" t="n">
        <v>6</v>
      </c>
      <c r="G148" s="9" t="n">
        <v>1</v>
      </c>
      <c r="H148" s="9" t="n">
        <v>1</v>
      </c>
    </row>
    <row r="149">
      <c r="A149" s="14" t="inlineStr">
        <is>
          <t>se933</t>
        </is>
      </c>
      <c r="B149" s="69" t="inlineStr">
        <is>
          <t>Terminado</t>
        </is>
      </c>
      <c r="C149" s="70" t="n">
        <v>46097</v>
      </c>
      <c r="D149" s="14" t="inlineStr"/>
      <c r="E149" s="14" t="inlineStr">
        <is>
          <t>limpieza dije</t>
        </is>
      </c>
      <c r="F149" s="71" t="n">
        <v>1</v>
      </c>
      <c r="G149" s="15" t="n">
        <v>15</v>
      </c>
      <c r="H149" s="15" t="n">
        <v>15</v>
      </c>
    </row>
    <row r="150">
      <c r="A150" s="8" t="inlineStr">
        <is>
          <t>se926</t>
        </is>
      </c>
      <c r="B150" s="69" t="inlineStr">
        <is>
          <t>Terminado</t>
        </is>
      </c>
      <c r="C150" s="72" t="n">
        <v>46099</v>
      </c>
      <c r="D150" s="8" t="inlineStr"/>
      <c r="E150" s="8" t="inlineStr">
        <is>
          <t>Collar de Acero Plateado-dije circular con rostro de ma</t>
        </is>
      </c>
      <c r="F150" s="73" t="n">
        <v>1</v>
      </c>
      <c r="G150" s="9" t="n">
        <v>89</v>
      </c>
      <c r="H150" s="9" t="n">
        <v>89</v>
      </c>
    </row>
    <row r="151">
      <c r="A151" s="14" t="inlineStr">
        <is>
          <t>se930</t>
        </is>
      </c>
      <c r="B151" s="69" t="inlineStr">
        <is>
          <t>Terminado</t>
        </is>
      </c>
      <c r="C151" s="70" t="n">
        <v>46100</v>
      </c>
      <c r="D151" s="14" t="inlineStr"/>
      <c r="E151" s="14" t="inlineStr">
        <is>
          <t>Pulsera DOGMOM color negro</t>
        </is>
      </c>
      <c r="F151" s="71" t="n">
        <v>1</v>
      </c>
      <c r="G151" s="15" t="n">
        <v>19</v>
      </c>
      <c r="H151" s="15" t="n">
        <v>19</v>
      </c>
    </row>
    <row r="152">
      <c r="A152" s="8" t="inlineStr">
        <is>
          <t>se932</t>
        </is>
      </c>
      <c r="B152" s="74" t="inlineStr">
        <is>
          <t>Diseño</t>
        </is>
      </c>
      <c r="C152" s="72" t="n">
        <v>46100</v>
      </c>
      <c r="D152" s="8" t="inlineStr"/>
      <c r="E152" s="8" t="inlineStr">
        <is>
          <t>01 pulsera con 5 peludos s/249</t>
        </is>
      </c>
      <c r="F152" s="73" t="n">
        <v>1</v>
      </c>
      <c r="G152" s="9" t="n">
        <v>249</v>
      </c>
      <c r="H152" s="9" t="n">
        <v>249</v>
      </c>
    </row>
    <row r="153">
      <c r="A153" s="14" t="inlineStr">
        <is>
          <t>se928</t>
        </is>
      </c>
      <c r="B153" s="69" t="inlineStr">
        <is>
          <t>Terminado</t>
        </is>
      </c>
      <c r="C153" s="70" t="n">
        <v>46100</v>
      </c>
      <c r="D153" s="14" t="inlineStr"/>
      <c r="E153" s="14" t="inlineStr">
        <is>
          <t xml:space="preserve">01 pulsera con 3 peludos s/209 </t>
        </is>
      </c>
      <c r="F153" s="71" t="n">
        <v>2</v>
      </c>
      <c r="G153" s="15" t="n">
        <v>209</v>
      </c>
      <c r="H153" s="15" t="n">
        <v>221</v>
      </c>
    </row>
    <row r="154">
      <c r="A154" s="8" t="inlineStr">
        <is>
          <t>se929</t>
        </is>
      </c>
      <c r="B154" s="69" t="inlineStr">
        <is>
          <t>Terminado</t>
        </is>
      </c>
      <c r="C154" s="72" t="n">
        <v>46100</v>
      </c>
      <c r="D154" s="8" t="inlineStr"/>
      <c r="E154" s="8" t="inlineStr">
        <is>
          <t>P07 Pulsera con hilo negro dije circular s/149</t>
        </is>
      </c>
      <c r="F154" s="73" t="n">
        <v>2</v>
      </c>
      <c r="G154" s="9" t="n">
        <v>149</v>
      </c>
      <c r="H154" s="9" t="n">
        <v>161</v>
      </c>
    </row>
    <row r="155">
      <c r="A155" s="14" t="inlineStr">
        <is>
          <t>se931</t>
        </is>
      </c>
      <c r="B155" s="69" t="inlineStr">
        <is>
          <t>Terminado</t>
        </is>
      </c>
      <c r="C155" s="70" t="n">
        <v>46100</v>
      </c>
      <c r="D155" s="14" t="inlineStr"/>
      <c r="E155" s="14" t="inlineStr">
        <is>
          <t>CL02 Collar dije circular 2cm s/169</t>
        </is>
      </c>
      <c r="F155" s="71" t="n">
        <v>1</v>
      </c>
      <c r="G155" s="15" t="n">
        <v>169</v>
      </c>
      <c r="H155" s="15" t="n">
        <v>181</v>
      </c>
    </row>
    <row r="156">
      <c r="A156" s="8" t="inlineStr">
        <is>
          <t>se934</t>
        </is>
      </c>
      <c r="B156" s="69" t="inlineStr">
        <is>
          <t>Terminado</t>
        </is>
      </c>
      <c r="C156" s="72" t="n">
        <v>46105</v>
      </c>
      <c r="D156" s="8" t="inlineStr"/>
      <c r="E156" s="8" t="inlineStr">
        <is>
          <t>CL01 Collar dije circular 1.5cm s/149</t>
        </is>
      </c>
      <c r="F156" s="73" t="n">
        <v>1</v>
      </c>
      <c r="G156" s="9" t="n">
        <v>149</v>
      </c>
      <c r="H156" s="9" t="n">
        <v>161</v>
      </c>
    </row>
    <row r="157">
      <c r="A157" s="14" t="inlineStr">
        <is>
          <t>se935</t>
        </is>
      </c>
      <c r="B157" s="69" t="inlineStr">
        <is>
          <t>Terminado</t>
        </is>
      </c>
      <c r="C157" s="70" t="n">
        <v>46108</v>
      </c>
      <c r="D157" s="14" t="inlineStr"/>
      <c r="E157" s="14" t="inlineStr">
        <is>
          <t>Collar de Plata modelo Corazón grabado ambos lados</t>
        </is>
      </c>
      <c r="F157" s="71" t="n">
        <v>1</v>
      </c>
      <c r="G157" s="15" t="n">
        <v>219</v>
      </c>
      <c r="H157" s="15" t="n">
        <v>239</v>
      </c>
    </row>
    <row r="158">
      <c r="A158" s="8" t="inlineStr">
        <is>
          <t>se936</t>
        </is>
      </c>
      <c r="B158" s="69" t="inlineStr">
        <is>
          <t>Terminado</t>
        </is>
      </c>
      <c r="C158" s="72" t="n">
        <v>46112</v>
      </c>
      <c r="D158" s="8" t="inlineStr"/>
      <c r="E158" s="8" t="inlineStr">
        <is>
          <t>Llavero en acero - S/89.00</t>
        </is>
      </c>
      <c r="F158" s="73" t="n">
        <v>1</v>
      </c>
      <c r="G158" s="9" t="n">
        <v>89</v>
      </c>
      <c r="H158" s="9" t="n">
        <v>106</v>
      </c>
    </row>
    <row r="159">
      <c r="A159" s="14" t="inlineStr">
        <is>
          <t>se937</t>
        </is>
      </c>
      <c r="B159" s="69" t="inlineStr">
        <is>
          <t>Terminado</t>
        </is>
      </c>
      <c r="C159" s="70" t="n">
        <v>46116</v>
      </c>
      <c r="D159" s="14" t="inlineStr"/>
      <c r="E159" s="14" t="inlineStr">
        <is>
          <t>Pulsera con cadena con dos dijes</t>
        </is>
      </c>
      <c r="F159" s="71" t="n">
        <v>1</v>
      </c>
      <c r="G159" s="15" t="n">
        <v>279</v>
      </c>
      <c r="H159" s="15" t="n">
        <v>295</v>
      </c>
    </row>
    <row r="160">
      <c r="A160" s="8" t="inlineStr">
        <is>
          <t>se940</t>
        </is>
      </c>
      <c r="B160" s="74" t="inlineStr">
        <is>
          <t>Diseño</t>
        </is>
      </c>
      <c r="C160" s="72" t="n">
        <v>46118</v>
      </c>
      <c r="D160" s="8" t="inlineStr"/>
      <c r="E160" s="8" t="inlineStr">
        <is>
          <t>Collar dije corazón s/169</t>
        </is>
      </c>
      <c r="F160" s="73" t="n">
        <v>2</v>
      </c>
      <c r="G160" s="9" t="n">
        <v>358</v>
      </c>
      <c r="H160" s="9" t="n">
        <v>358</v>
      </c>
    </row>
    <row r="161">
      <c r="A161" s="14" t="inlineStr">
        <is>
          <t>se941</t>
        </is>
      </c>
      <c r="B161" s="75" t="inlineStr">
        <is>
          <t>Diseño</t>
        </is>
      </c>
      <c r="C161" s="70" t="n">
        <v>46119</v>
      </c>
      <c r="D161" s="14" t="inlineStr"/>
      <c r="E161" s="14" t="inlineStr">
        <is>
          <t xml:space="preserve">Cadena con dije en acero quirúrgico </t>
        </is>
      </c>
      <c r="F161" s="71" t="n">
        <v>1</v>
      </c>
      <c r="G161" s="15" t="n">
        <v>89</v>
      </c>
      <c r="H161" s="15" t="n">
        <v>101</v>
      </c>
    </row>
    <row r="162">
      <c r="A162" s="8" t="inlineStr">
        <is>
          <t>se938</t>
        </is>
      </c>
      <c r="B162" s="74" t="inlineStr">
        <is>
          <t>Diseño</t>
        </is>
      </c>
      <c r="C162" s="72" t="n">
        <v>46120</v>
      </c>
      <c r="D162" s="8" t="inlineStr"/>
      <c r="E162" s="8" t="inlineStr">
        <is>
          <t>Dije 2 cm por ambos lados</t>
        </is>
      </c>
      <c r="F162" s="73" t="n">
        <v>1</v>
      </c>
      <c r="G162" s="9" t="n">
        <v>278</v>
      </c>
      <c r="H162" s="9" t="n">
        <v>278</v>
      </c>
    </row>
    <row r="163">
      <c r="A163" s="14" t="inlineStr">
        <is>
          <t>se939</t>
        </is>
      </c>
      <c r="B163" s="75" t="inlineStr">
        <is>
          <t>Impresión</t>
        </is>
      </c>
      <c r="C163" s="70" t="n">
        <v>46125</v>
      </c>
      <c r="D163" s="14" t="inlineStr"/>
      <c r="E163" s="14" t="inlineStr">
        <is>
          <t xml:space="preserve">Pulsera plata modelo tejida Huellita </t>
        </is>
      </c>
      <c r="F163" s="71" t="n">
        <v>1</v>
      </c>
      <c r="G163" s="15" t="n">
        <v>69</v>
      </c>
      <c r="H163" s="15" t="n">
        <v>81</v>
      </c>
    </row>
    <row r="164">
      <c r="A164" s="8" t="inlineStr">
        <is>
          <t>se942</t>
        </is>
      </c>
      <c r="B164" s="74" t="inlineStr"/>
      <c r="C164" s="72" t="n"/>
      <c r="D164" s="8" t="inlineStr"/>
      <c r="E164" s="8" t="inlineStr">
        <is>
          <t xml:space="preserve">Pulsera color beige con huellitas </t>
        </is>
      </c>
      <c r="F164" s="73" t="n">
        <v>1</v>
      </c>
      <c r="G164" s="9" t="n"/>
      <c r="H164" s="9" t="n"/>
    </row>
    <row r="165">
      <c r="A165" s="14" t="inlineStr">
        <is>
          <t>se943</t>
        </is>
      </c>
      <c r="B165" s="75" t="inlineStr"/>
      <c r="C165" s="70" t="n"/>
      <c r="D165" s="14" t="inlineStr"/>
      <c r="E165" s="14" t="inlineStr">
        <is>
          <t xml:space="preserve">Pulsera huellita </t>
        </is>
      </c>
      <c r="F165" s="71" t="n">
        <v>1</v>
      </c>
      <c r="G165" s="15" t="n"/>
      <c r="H165" s="15" t="n"/>
    </row>
    <row r="166">
      <c r="A166" s="8" t="inlineStr">
        <is>
          <t>se944</t>
        </is>
      </c>
      <c r="B166" s="74" t="inlineStr"/>
      <c r="C166" s="72" t="n"/>
      <c r="D166" s="8" t="inlineStr"/>
      <c r="E166" s="8" t="inlineStr">
        <is>
          <t>Huellita mini</t>
        </is>
      </c>
      <c r="F166" s="73" t="n">
        <v>1</v>
      </c>
      <c r="G166" s="9" t="n"/>
      <c r="H166" s="9" t="n"/>
    </row>
    <row r="167">
      <c r="A167" s="14" t="inlineStr">
        <is>
          <t>se945</t>
        </is>
      </c>
      <c r="B167" s="75" t="inlineStr"/>
      <c r="C167" s="70" t="n"/>
      <c r="D167" s="14" t="inlineStr"/>
      <c r="E167" s="14" t="inlineStr">
        <is>
          <t xml:space="preserve">2 DIJES CORAZONES </t>
        </is>
      </c>
      <c r="F167" s="71" t="n">
        <v>2</v>
      </c>
      <c r="G167" s="15" t="n"/>
      <c r="H167" s="15" t="n"/>
    </row>
    <row r="168">
      <c r="A168" s="8" t="inlineStr">
        <is>
          <t>se946</t>
        </is>
      </c>
      <c r="B168" s="74" t="inlineStr"/>
      <c r="C168" s="72" t="n"/>
      <c r="D168" s="8" t="inlineStr"/>
      <c r="E168" s="8" t="inlineStr">
        <is>
          <t>P07 Pulsera con hilo negro dije circular s/149</t>
        </is>
      </c>
      <c r="F168" s="73" t="n">
        <v>1</v>
      </c>
      <c r="G168" s="9" t="n"/>
      <c r="H168" s="9" t="n"/>
    </row>
    <row r="169">
      <c r="A169" s="14" t="inlineStr">
        <is>
          <t>se947</t>
        </is>
      </c>
      <c r="B169" s="75" t="inlineStr"/>
      <c r="C169" s="70" t="n"/>
      <c r="D169" s="14" t="inlineStr"/>
      <c r="E169" s="14" t="inlineStr">
        <is>
          <t xml:space="preserve">Tipo pulsera de acero </t>
        </is>
      </c>
      <c r="F169" s="71" t="n">
        <v>1</v>
      </c>
      <c r="G169" s="15" t="n"/>
      <c r="H169" s="15" t="n"/>
    </row>
    <row r="170">
      <c r="A170" s="8" t="inlineStr">
        <is>
          <t>se948</t>
        </is>
      </c>
      <c r="B170" s="74" t="inlineStr"/>
      <c r="C170" s="72" t="n"/>
      <c r="D170" s="8" t="inlineStr"/>
      <c r="E170" s="8" t="inlineStr">
        <is>
          <t>Pulsera de plata modelo 3 cabecitas con cadena</t>
        </is>
      </c>
      <c r="F170" s="73" t="n">
        <v>1</v>
      </c>
      <c r="G170" s="9" t="n"/>
      <c r="H170" s="9" t="n"/>
    </row>
    <row r="171">
      <c r="A171" s="14" t="inlineStr">
        <is>
          <t>se949</t>
        </is>
      </c>
      <c r="B171" s="75" t="inlineStr"/>
      <c r="C171" s="70" t="n"/>
      <c r="D171" s="14" t="inlineStr"/>
      <c r="E171" s="14" t="inlineStr">
        <is>
          <t>collar con silueta dos cabecitas</t>
        </is>
      </c>
      <c r="F171" s="71" t="n">
        <v>1</v>
      </c>
      <c r="G171" s="15" t="n"/>
      <c r="H171" s="15" t="n"/>
    </row>
    <row r="172">
      <c r="A172" s="8" t="inlineStr">
        <is>
          <t>se950</t>
        </is>
      </c>
      <c r="B172" s="74" t="inlineStr"/>
      <c r="C172" s="72" t="n"/>
      <c r="D172" s="8" t="inlineStr"/>
      <c r="E172" s="8" t="inlineStr">
        <is>
          <t>P08 Pulsera con cadena s/169</t>
        </is>
      </c>
      <c r="F172" s="73" t="n">
        <v>1</v>
      </c>
      <c r="G172" s="9" t="n"/>
      <c r="H172" s="9" t="n"/>
    </row>
    <row r="173">
      <c r="A173" s="14" t="inlineStr">
        <is>
          <t>se951</t>
        </is>
      </c>
      <c r="B173" s="75" t="inlineStr"/>
      <c r="C173" s="70" t="n"/>
      <c r="D173" s="14" t="inlineStr"/>
      <c r="E173" s="14" t="inlineStr">
        <is>
          <t>Otro: Collar dije 2cm de acero dorado</t>
        </is>
      </c>
      <c r="F173" s="71" t="n">
        <v>1</v>
      </c>
      <c r="G173" s="15" t="n"/>
      <c r="H173" s="15" t="n"/>
    </row>
    <row r="174">
      <c r="A174" s="8" t="inlineStr">
        <is>
          <t>se952</t>
        </is>
      </c>
      <c r="B174" s="74" t="inlineStr"/>
      <c r="C174" s="72" t="n"/>
      <c r="D174" s="8" t="inlineStr"/>
      <c r="E174" s="8" t="inlineStr">
        <is>
          <t>Collar Sofìa</t>
        </is>
      </c>
      <c r="F174" s="73" t="n">
        <v>1</v>
      </c>
      <c r="G174" s="9" t="n"/>
      <c r="H174" s="9" t="n"/>
    </row>
    <row r="175">
      <c r="A175" s="14" t="inlineStr">
        <is>
          <t>se953</t>
        </is>
      </c>
      <c r="B175" s="75" t="inlineStr"/>
      <c r="C175" s="70" t="n"/>
      <c r="D175" s="14" t="inlineStr"/>
      <c r="E175" s="14" t="inlineStr">
        <is>
          <t>Collar dije 2cm de acero dorado</t>
        </is>
      </c>
      <c r="F175" s="71" t="n">
        <v>1</v>
      </c>
      <c r="G175" s="15" t="n"/>
      <c r="H175" s="15" t="n"/>
    </row>
    <row r="176">
      <c r="A176" s="8" t="inlineStr">
        <is>
          <t>se954</t>
        </is>
      </c>
      <c r="B176" s="74" t="inlineStr"/>
      <c r="C176" s="72" t="n"/>
      <c r="D176" s="8" t="inlineStr"/>
      <c r="E176" s="8" t="inlineStr">
        <is>
          <t>Collar dije 2.5 cm de acero dorado</t>
        </is>
      </c>
      <c r="F176" s="73" t="n">
        <v>1</v>
      </c>
      <c r="G176" s="9" t="n"/>
      <c r="H176" s="9" t="n"/>
    </row>
    <row r="177">
      <c r="A177" s="14" t="inlineStr">
        <is>
          <t>se955</t>
        </is>
      </c>
      <c r="B177" s="75" t="inlineStr"/>
      <c r="C177" s="70" t="n"/>
      <c r="D177" s="14" t="inlineStr"/>
      <c r="E177" s="14" t="inlineStr">
        <is>
          <t>Nombre Karla, colocar dos corazones al costado</t>
        </is>
      </c>
      <c r="F177" s="71" t="n">
        <v>1</v>
      </c>
      <c r="G177" s="15" t="n"/>
      <c r="H177" s="15" t="n"/>
    </row>
    <row r="178">
      <c r="A178" s="8" t="inlineStr">
        <is>
          <t>se956</t>
        </is>
      </c>
      <c r="B178" s="74" t="inlineStr"/>
      <c r="C178" s="72" t="n"/>
      <c r="D178" s="8" t="inlineStr"/>
      <c r="E178" s="8" t="inlineStr"/>
      <c r="F178" s="73" t="n">
        <v>1</v>
      </c>
      <c r="G178" s="9" t="n"/>
      <c r="H178" s="9" t="n"/>
    </row>
    <row r="179">
      <c r="A179" s="14" t="inlineStr">
        <is>
          <t>se957</t>
        </is>
      </c>
      <c r="B179" s="75" t="inlineStr"/>
      <c r="C179" s="70" t="n"/>
      <c r="D179" s="14" t="inlineStr"/>
      <c r="E179" s="14" t="inlineStr"/>
      <c r="F179" s="71" t="n">
        <v>1</v>
      </c>
      <c r="G179" s="15" t="n"/>
      <c r="H179" s="15" t="n"/>
    </row>
    <row r="180">
      <c r="A180" s="8" t="inlineStr">
        <is>
          <t>se958</t>
        </is>
      </c>
      <c r="B180" s="74" t="inlineStr"/>
      <c r="C180" s="72" t="n"/>
      <c r="D180" s="8" t="inlineStr"/>
      <c r="E180" s="8" t="inlineStr"/>
      <c r="F180" s="73" t="n">
        <v>1</v>
      </c>
      <c r="G180" s="9" t="n"/>
      <c r="H180" s="9" t="n"/>
    </row>
    <row r="181">
      <c r="A181" s="14" t="inlineStr">
        <is>
          <t>se959</t>
        </is>
      </c>
      <c r="B181" s="75" t="inlineStr"/>
      <c r="C181" s="70" t="n"/>
      <c r="D181" s="14" t="inlineStr"/>
      <c r="E181" s="14" t="inlineStr"/>
      <c r="F181" s="71" t="n">
        <v>1</v>
      </c>
      <c r="G181" s="15" t="n"/>
      <c r="H181" s="15" t="n"/>
    </row>
    <row r="182">
      <c r="A182" s="8" t="inlineStr">
        <is>
          <t>se960</t>
        </is>
      </c>
      <c r="B182" s="74" t="inlineStr"/>
      <c r="C182" s="72" t="n"/>
      <c r="D182" s="8" t="inlineStr"/>
      <c r="E182" s="8" t="inlineStr"/>
      <c r="F182" s="73" t="n">
        <v>1</v>
      </c>
      <c r="G182" s="9" t="n"/>
      <c r="H182" s="9" t="n"/>
    </row>
    <row r="183">
      <c r="A183" s="14" t="inlineStr">
        <is>
          <t>se961</t>
        </is>
      </c>
      <c r="B183" s="75" t="inlineStr"/>
      <c r="C183" s="70" t="n"/>
      <c r="D183" s="14" t="inlineStr"/>
      <c r="E183" s="14" t="inlineStr"/>
      <c r="F183" s="71" t="n">
        <v>1</v>
      </c>
      <c r="G183" s="15" t="n"/>
      <c r="H183" s="15" t="n"/>
    </row>
    <row r="184">
      <c r="A184" s="8" t="inlineStr">
        <is>
          <t>se962</t>
        </is>
      </c>
      <c r="B184" s="74" t="inlineStr"/>
      <c r="C184" s="72" t="n"/>
      <c r="D184" s="8" t="inlineStr"/>
      <c r="E184" s="8" t="inlineStr"/>
      <c r="F184" s="73" t="n">
        <v>1</v>
      </c>
      <c r="G184" s="9" t="n"/>
      <c r="H184" s="9" t="n"/>
    </row>
    <row r="185">
      <c r="A185" s="14" t="inlineStr">
        <is>
          <t>se963</t>
        </is>
      </c>
      <c r="B185" s="75" t="inlineStr"/>
      <c r="C185" s="70" t="n"/>
      <c r="D185" s="14" t="inlineStr"/>
      <c r="E185" s="14" t="inlineStr"/>
      <c r="F185" s="71" t="n">
        <v>1</v>
      </c>
      <c r="G185" s="15" t="n"/>
      <c r="H185" s="15" t="n"/>
    </row>
    <row r="186">
      <c r="A186" s="8" t="inlineStr">
        <is>
          <t>se964</t>
        </is>
      </c>
      <c r="B186" s="74" t="inlineStr"/>
      <c r="C186" s="72" t="n"/>
      <c r="D186" s="8" t="inlineStr"/>
      <c r="E186" s="8" t="inlineStr"/>
      <c r="F186" s="73" t="n">
        <v>1</v>
      </c>
      <c r="G186" s="9" t="n"/>
      <c r="H186" s="9" t="n"/>
    </row>
    <row r="187">
      <c r="A187" s="14" t="inlineStr">
        <is>
          <t>se965</t>
        </is>
      </c>
      <c r="B187" s="75" t="inlineStr"/>
      <c r="C187" s="70" t="n"/>
      <c r="D187" s="14" t="inlineStr"/>
      <c r="E187" s="14" t="inlineStr"/>
      <c r="F187" s="71" t="n">
        <v>1</v>
      </c>
      <c r="G187" s="15" t="n"/>
      <c r="H187" s="15" t="n"/>
    </row>
    <row r="188">
      <c r="A188" s="8" t="inlineStr">
        <is>
          <t>se966</t>
        </is>
      </c>
      <c r="B188" s="74" t="inlineStr"/>
      <c r="C188" s="72" t="n"/>
      <c r="D188" s="8" t="inlineStr"/>
      <c r="E188" s="8" t="inlineStr"/>
      <c r="F188" s="73" t="n">
        <v>1</v>
      </c>
      <c r="G188" s="9" t="n"/>
      <c r="H188" s="9" t="n"/>
    </row>
    <row r="189">
      <c r="A189" s="14" t="inlineStr">
        <is>
          <t>se967</t>
        </is>
      </c>
      <c r="B189" s="75" t="inlineStr"/>
      <c r="C189" s="70" t="n"/>
      <c r="D189" s="14" t="inlineStr"/>
      <c r="E189" s="14" t="inlineStr"/>
      <c r="F189" s="71" t="n">
        <v>1</v>
      </c>
      <c r="G189" s="15" t="n"/>
      <c r="H189" s="15" t="n"/>
    </row>
    <row r="190">
      <c r="A190" s="8" t="inlineStr">
        <is>
          <t>se968</t>
        </is>
      </c>
      <c r="B190" s="74" t="inlineStr"/>
      <c r="C190" s="72" t="n"/>
      <c r="D190" s="8" t="inlineStr"/>
      <c r="E190" s="8" t="inlineStr"/>
      <c r="F190" s="73" t="n">
        <v>1</v>
      </c>
      <c r="G190" s="9" t="n"/>
      <c r="H190" s="9" t="n"/>
    </row>
    <row r="191">
      <c r="A191" s="14" t="inlineStr">
        <is>
          <t>se969</t>
        </is>
      </c>
      <c r="B191" s="75" t="inlineStr"/>
      <c r="C191" s="70" t="n"/>
      <c r="D191" s="14" t="inlineStr"/>
      <c r="E191" s="14" t="inlineStr"/>
      <c r="F191" s="71" t="n">
        <v>1</v>
      </c>
      <c r="G191" s="15" t="n"/>
      <c r="H191" s="15" t="n"/>
    </row>
    <row r="192">
      <c r="A192" s="8" t="inlineStr">
        <is>
          <t>se970</t>
        </is>
      </c>
      <c r="B192" s="74" t="inlineStr"/>
      <c r="C192" s="72" t="n"/>
      <c r="D192" s="8" t="inlineStr"/>
      <c r="E192" s="8" t="inlineStr"/>
      <c r="F192" s="73" t="n">
        <v>1</v>
      </c>
      <c r="G192" s="9" t="n"/>
      <c r="H192" s="9" t="n"/>
    </row>
    <row r="193">
      <c r="A193" s="14" t="inlineStr">
        <is>
          <t>se971</t>
        </is>
      </c>
      <c r="B193" s="75" t="inlineStr"/>
      <c r="C193" s="70" t="n"/>
      <c r="D193" s="14" t="inlineStr"/>
      <c r="E193" s="14" t="inlineStr"/>
      <c r="F193" s="71" t="n">
        <v>1</v>
      </c>
      <c r="G193" s="15" t="n"/>
      <c r="H193" s="15" t="n"/>
    </row>
    <row r="194">
      <c r="A194" s="8" t="inlineStr">
        <is>
          <t>se972</t>
        </is>
      </c>
      <c r="B194" s="74" t="inlineStr"/>
      <c r="C194" s="72" t="n"/>
      <c r="D194" s="8" t="inlineStr"/>
      <c r="E194" s="8" t="inlineStr"/>
      <c r="F194" s="73" t="n">
        <v>1</v>
      </c>
      <c r="G194" s="9" t="n"/>
      <c r="H194" s="9" t="n"/>
    </row>
    <row r="195">
      <c r="A195" s="14" t="inlineStr">
        <is>
          <t>se973</t>
        </is>
      </c>
      <c r="B195" s="75" t="inlineStr"/>
      <c r="C195" s="70" t="n"/>
      <c r="D195" s="14" t="inlineStr"/>
      <c r="E195" s="14" t="inlineStr"/>
      <c r="F195" s="71" t="n">
        <v>1</v>
      </c>
      <c r="G195" s="15" t="n"/>
      <c r="H195" s="15" t="n"/>
    </row>
    <row r="196">
      <c r="A196" s="8" t="inlineStr">
        <is>
          <t>se974</t>
        </is>
      </c>
      <c r="B196" s="74" t="inlineStr"/>
      <c r="C196" s="72" t="n"/>
      <c r="D196" s="8" t="inlineStr"/>
      <c r="E196" s="8" t="inlineStr"/>
      <c r="F196" s="73" t="n">
        <v>1</v>
      </c>
      <c r="G196" s="9" t="n"/>
      <c r="H196" s="9" t="n"/>
    </row>
    <row r="197">
      <c r="A197" s="14" t="inlineStr">
        <is>
          <t>se975</t>
        </is>
      </c>
      <c r="B197" s="75" t="inlineStr"/>
      <c r="C197" s="70" t="n"/>
      <c r="D197" s="14" t="inlineStr"/>
      <c r="E197" s="14" t="inlineStr"/>
      <c r="F197" s="71" t="n">
        <v>1</v>
      </c>
      <c r="G197" s="15" t="n"/>
      <c r="H197" s="15" t="n"/>
    </row>
    <row r="198">
      <c r="A198" s="8" t="inlineStr">
        <is>
          <t>se976</t>
        </is>
      </c>
      <c r="B198" s="74" t="inlineStr"/>
      <c r="C198" s="72" t="n"/>
      <c r="D198" s="8" t="inlineStr"/>
      <c r="E198" s="8" t="inlineStr"/>
      <c r="F198" s="73" t="n">
        <v>1</v>
      </c>
      <c r="G198" s="9" t="n"/>
      <c r="H198" s="9" t="n"/>
    </row>
    <row r="199">
      <c r="A199" s="14" t="inlineStr">
        <is>
          <t>se977</t>
        </is>
      </c>
      <c r="B199" s="75" t="inlineStr"/>
      <c r="C199" s="70" t="n"/>
      <c r="D199" s="14" t="inlineStr"/>
      <c r="E199" s="14" t="inlineStr"/>
      <c r="F199" s="71" t="n">
        <v>1</v>
      </c>
      <c r="G199" s="15" t="n"/>
      <c r="H199" s="15" t="n"/>
    </row>
    <row r="200">
      <c r="A200" s="8" t="inlineStr">
        <is>
          <t>se978</t>
        </is>
      </c>
      <c r="B200" s="74" t="inlineStr"/>
      <c r="C200" s="72" t="n"/>
      <c r="D200" s="8" t="inlineStr"/>
      <c r="E200" s="8" t="inlineStr"/>
      <c r="F200" s="73" t="n">
        <v>1</v>
      </c>
      <c r="G200" s="9" t="n"/>
      <c r="H200" s="9" t="n"/>
    </row>
    <row r="201">
      <c r="A201" s="14" t="inlineStr">
        <is>
          <t>se979</t>
        </is>
      </c>
      <c r="B201" s="75" t="inlineStr"/>
      <c r="C201" s="70" t="n"/>
      <c r="D201" s="14" t="inlineStr"/>
      <c r="E201" s="14" t="inlineStr"/>
      <c r="F201" s="71" t="n">
        <v>1</v>
      </c>
      <c r="G201" s="15" t="n"/>
      <c r="H201" s="15" t="n"/>
    </row>
    <row r="202">
      <c r="A202" s="8" t="inlineStr">
        <is>
          <t>se980</t>
        </is>
      </c>
      <c r="B202" s="74" t="inlineStr"/>
      <c r="C202" s="72" t="n"/>
      <c r="D202" s="8" t="inlineStr"/>
      <c r="E202" s="8" t="inlineStr"/>
      <c r="F202" s="73" t="n">
        <v>1</v>
      </c>
      <c r="G202" s="9" t="n"/>
      <c r="H202" s="9" t="n"/>
    </row>
    <row r="203">
      <c r="A203" s="14" t="inlineStr">
        <is>
          <t>se981</t>
        </is>
      </c>
      <c r="B203" s="75" t="inlineStr"/>
      <c r="C203" s="70" t="n"/>
      <c r="D203" s="14" t="inlineStr"/>
      <c r="E203" s="14" t="inlineStr"/>
      <c r="F203" s="71" t="n">
        <v>1</v>
      </c>
      <c r="G203" s="15" t="n"/>
      <c r="H203" s="15" t="n"/>
    </row>
    <row r="204">
      <c r="A204" s="8" t="inlineStr">
        <is>
          <t>se982</t>
        </is>
      </c>
      <c r="B204" s="74" t="inlineStr"/>
      <c r="C204" s="72" t="n"/>
      <c r="D204" s="8" t="inlineStr"/>
      <c r="E204" s="8" t="inlineStr"/>
      <c r="F204" s="73" t="n">
        <v>1</v>
      </c>
      <c r="G204" s="9" t="n"/>
      <c r="H204" s="9" t="n"/>
    </row>
    <row r="205">
      <c r="A205" s="14" t="inlineStr">
        <is>
          <t>se983</t>
        </is>
      </c>
      <c r="B205" s="75" t="inlineStr"/>
      <c r="C205" s="70" t="n"/>
      <c r="D205" s="14" t="inlineStr"/>
      <c r="E205" s="14" t="inlineStr"/>
      <c r="F205" s="71" t="n">
        <v>1</v>
      </c>
      <c r="G205" s="15" t="n"/>
      <c r="H205" s="15" t="n"/>
    </row>
    <row r="206">
      <c r="A206" s="8" t="inlineStr">
        <is>
          <t>se984</t>
        </is>
      </c>
      <c r="B206" s="74" t="inlineStr"/>
      <c r="C206" s="72" t="n"/>
      <c r="D206" s="8" t="inlineStr"/>
      <c r="E206" s="8" t="inlineStr"/>
      <c r="F206" s="73" t="n">
        <v>1</v>
      </c>
      <c r="G206" s="9" t="n"/>
      <c r="H206" s="9" t="n"/>
    </row>
    <row r="207">
      <c r="A207" s="14" t="inlineStr">
        <is>
          <t>se985</t>
        </is>
      </c>
      <c r="B207" s="75" t="inlineStr"/>
      <c r="C207" s="70" t="n"/>
      <c r="D207" s="14" t="inlineStr"/>
      <c r="E207" s="14" t="inlineStr"/>
      <c r="F207" s="71" t="n">
        <v>1</v>
      </c>
      <c r="G207" s="15" t="n"/>
      <c r="H207" s="15" t="n"/>
    </row>
    <row r="208">
      <c r="A208" s="8" t="inlineStr">
        <is>
          <t>se986</t>
        </is>
      </c>
      <c r="B208" s="74" t="inlineStr"/>
      <c r="C208" s="72" t="n"/>
      <c r="D208" s="8" t="inlineStr"/>
      <c r="E208" s="8" t="inlineStr"/>
      <c r="F208" s="73" t="n">
        <v>1</v>
      </c>
      <c r="G208" s="9" t="n"/>
      <c r="H208" s="9" t="n"/>
    </row>
    <row r="209">
      <c r="A209" s="14" t="inlineStr">
        <is>
          <t>se987</t>
        </is>
      </c>
      <c r="B209" s="75" t="inlineStr"/>
      <c r="C209" s="70" t="n"/>
      <c r="D209" s="14" t="inlineStr"/>
      <c r="E209" s="14" t="inlineStr"/>
      <c r="F209" s="71" t="n">
        <v>1</v>
      </c>
      <c r="G209" s="15" t="n"/>
      <c r="H209" s="15" t="n"/>
    </row>
    <row r="210">
      <c r="A210" s="8" t="inlineStr">
        <is>
          <t>se988</t>
        </is>
      </c>
      <c r="B210" s="74" t="inlineStr"/>
      <c r="C210" s="72" t="n"/>
      <c r="D210" s="8" t="inlineStr"/>
      <c r="E210" s="8" t="inlineStr"/>
      <c r="F210" s="73" t="n">
        <v>1</v>
      </c>
      <c r="G210" s="9" t="n"/>
      <c r="H210" s="9" t="n"/>
    </row>
    <row r="211">
      <c r="A211" s="14" t="inlineStr">
        <is>
          <t>se989</t>
        </is>
      </c>
      <c r="B211" s="75" t="inlineStr"/>
      <c r="C211" s="70" t="n"/>
      <c r="D211" s="14" t="inlineStr"/>
      <c r="E211" s="14" t="inlineStr"/>
      <c r="F211" s="71" t="n">
        <v>1</v>
      </c>
      <c r="G211" s="15" t="n"/>
      <c r="H211" s="15" t="n"/>
    </row>
    <row r="212">
      <c r="A212" s="8" t="inlineStr">
        <is>
          <t>se990</t>
        </is>
      </c>
      <c r="B212" s="74" t="inlineStr"/>
      <c r="C212" s="72" t="n"/>
      <c r="D212" s="8" t="inlineStr"/>
      <c r="E212" s="8" t="inlineStr"/>
      <c r="F212" s="73" t="n">
        <v>1</v>
      </c>
      <c r="G212" s="9" t="n"/>
      <c r="H212" s="9" t="n"/>
    </row>
    <row r="213">
      <c r="A213" s="14" t="inlineStr">
        <is>
          <t>se991</t>
        </is>
      </c>
      <c r="B213" s="75" t="inlineStr"/>
      <c r="C213" s="70" t="n"/>
      <c r="D213" s="14" t="inlineStr"/>
      <c r="E213" s="14" t="inlineStr"/>
      <c r="F213" s="71" t="n">
        <v>1</v>
      </c>
      <c r="G213" s="15" t="n"/>
      <c r="H213" s="15" t="n"/>
    </row>
    <row r="214">
      <c r="A214" s="8" t="inlineStr">
        <is>
          <t>se992</t>
        </is>
      </c>
      <c r="B214" s="74" t="inlineStr"/>
      <c r="C214" s="72" t="n"/>
      <c r="D214" s="8" t="inlineStr"/>
      <c r="E214" s="8" t="inlineStr"/>
      <c r="F214" s="73" t="n">
        <v>1</v>
      </c>
      <c r="G214" s="9" t="n"/>
      <c r="H214" s="9" t="n"/>
    </row>
    <row r="215">
      <c r="A215" s="14" t="inlineStr">
        <is>
          <t>se993</t>
        </is>
      </c>
      <c r="B215" s="75" t="inlineStr"/>
      <c r="C215" s="70" t="n"/>
      <c r="D215" s="14" t="inlineStr"/>
      <c r="E215" s="14" t="inlineStr"/>
      <c r="F215" s="71" t="n">
        <v>1</v>
      </c>
      <c r="G215" s="15" t="n"/>
      <c r="H215" s="15" t="n"/>
    </row>
    <row r="216">
      <c r="A216" s="8" t="inlineStr">
        <is>
          <t>se994</t>
        </is>
      </c>
      <c r="B216" s="74" t="inlineStr"/>
      <c r="C216" s="72" t="n"/>
      <c r="D216" s="8" t="inlineStr"/>
      <c r="E216" s="8" t="inlineStr"/>
      <c r="F216" s="73" t="n">
        <v>1</v>
      </c>
      <c r="G216" s="9" t="n"/>
      <c r="H216" s="9" t="n"/>
    </row>
    <row r="217">
      <c r="A217" s="14" t="inlineStr">
        <is>
          <t>se995</t>
        </is>
      </c>
      <c r="B217" s="75" t="inlineStr"/>
      <c r="C217" s="70" t="n"/>
      <c r="D217" s="14" t="inlineStr"/>
      <c r="E217" s="14" t="inlineStr"/>
      <c r="F217" s="71" t="n">
        <v>1</v>
      </c>
      <c r="G217" s="15" t="n"/>
      <c r="H217" s="15" t="n"/>
    </row>
    <row r="218">
      <c r="A218" s="8" t="inlineStr">
        <is>
          <t>se996</t>
        </is>
      </c>
      <c r="B218" s="74" t="inlineStr"/>
      <c r="C218" s="72" t="n"/>
      <c r="D218" s="8" t="inlineStr"/>
      <c r="E218" s="8" t="inlineStr"/>
      <c r="F218" s="73" t="n">
        <v>1</v>
      </c>
      <c r="G218" s="9" t="n"/>
      <c r="H218" s="9" t="n"/>
    </row>
    <row r="219">
      <c r="A219" s="14" t="inlineStr">
        <is>
          <t>se997</t>
        </is>
      </c>
      <c r="B219" s="75" t="inlineStr"/>
      <c r="C219" s="70" t="n"/>
      <c r="D219" s="14" t="inlineStr"/>
      <c r="E219" s="14" t="inlineStr"/>
      <c r="F219" s="71" t="n">
        <v>1</v>
      </c>
      <c r="G219" s="15" t="n"/>
      <c r="H219" s="15" t="n"/>
    </row>
    <row r="220">
      <c r="A220" s="8" t="inlineStr">
        <is>
          <t>se998</t>
        </is>
      </c>
      <c r="B220" s="74" t="inlineStr"/>
      <c r="C220" s="72" t="n"/>
      <c r="D220" s="8" t="inlineStr"/>
      <c r="E220" s="8" t="inlineStr"/>
      <c r="F220" s="73" t="n">
        <v>1</v>
      </c>
      <c r="G220" s="9" t="n"/>
      <c r="H220" s="9" t="n"/>
    </row>
    <row r="221">
      <c r="A221" s="14" t="inlineStr">
        <is>
          <t>se999</t>
        </is>
      </c>
      <c r="B221" s="75" t="inlineStr"/>
      <c r="C221" s="70" t="n"/>
      <c r="D221" s="14" t="inlineStr"/>
      <c r="E221" s="14" t="inlineStr"/>
      <c r="F221" s="71" t="n">
        <v>1</v>
      </c>
      <c r="G221" s="15" t="n"/>
      <c r="H221" s="15" t="n"/>
    </row>
    <row r="222">
      <c r="A222" s="8" t="inlineStr">
        <is>
          <t>se1000</t>
        </is>
      </c>
      <c r="B222" s="74" t="inlineStr"/>
      <c r="C222" s="72" t="n"/>
      <c r="D222" s="8" t="inlineStr"/>
      <c r="E222" s="8" t="inlineStr"/>
      <c r="F222" s="73" t="n">
        <v>1</v>
      </c>
      <c r="G222" s="9" t="n"/>
      <c r="H222" s="9" t="n"/>
    </row>
  </sheetData>
  <mergeCells count="3">
    <mergeCell ref="A23:H23"/>
    <mergeCell ref="A3:E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  <col width="3" customWidth="1" min="3" max="3"/>
  </cols>
  <sheetData>
    <row r="1" ht="30" customHeight="1">
      <c r="A1" s="32" t="inlineStr">
        <is>
          <t>GUÍA RÁPIDA DE FÓRMULAS Y CONCEPTOS — ENJOYA</t>
        </is>
      </c>
    </row>
    <row r="3" ht="20" customHeight="1">
      <c r="A3" s="3" t="inlineStr">
        <is>
          <t>FÓRMULAS BÁSICAS EN EXCEL</t>
        </is>
      </c>
    </row>
    <row r="4">
      <c r="A4" s="7" t="inlineStr">
        <is>
          <t>Fórmula / Concepto</t>
        </is>
      </c>
      <c r="B4" s="7" t="inlineStr">
        <is>
          <t>Explicación</t>
        </is>
      </c>
      <c r="C4" s="6" t="n"/>
    </row>
    <row r="5">
      <c r="A5" s="76">
        <f>SUMA(C4:C10)</f>
        <v/>
      </c>
      <c r="B5" s="14" t="inlineStr">
        <is>
          <t>Suma todas las celdas de C4 a C10</t>
        </is>
      </c>
      <c r="C5" s="77" t="n"/>
    </row>
    <row r="6">
      <c r="A6" s="78">
        <f>B4*C4</f>
        <v/>
      </c>
      <c r="B6" s="8" t="inlineStr">
        <is>
          <t>Multiplica cantidad × precio unitario</t>
        </is>
      </c>
      <c r="C6" s="20" t="n"/>
    </row>
    <row r="7">
      <c r="A7" s="76">
        <f>SUMAR.SI(B:B;"Collar";F:F)</f>
        <v/>
      </c>
      <c r="B7" s="14" t="inlineStr">
        <is>
          <t>Suma en col. F donde col. B diga 'Collar'</t>
        </is>
      </c>
      <c r="C7" s="77" t="n"/>
    </row>
    <row r="8">
      <c r="A8" s="78">
        <f>CONTAR.SI(B:B;"Collar")</f>
        <v/>
      </c>
      <c r="B8" s="8" t="inlineStr">
        <is>
          <t>Cuenta cuántas veces aparece 'Collar' en col. B</t>
        </is>
      </c>
      <c r="C8" s="20" t="n"/>
    </row>
    <row r="9">
      <c r="A9" s="76">
        <f>(B5/B3)*100</f>
        <v/>
      </c>
      <c r="B9" s="14" t="inlineStr">
        <is>
          <t>Calcula qué % es B5 respecto a B3</t>
        </is>
      </c>
      <c r="C9" s="77" t="n"/>
    </row>
    <row r="11" ht="20" customHeight="1">
      <c r="A11" s="3" t="inlineStr">
        <is>
          <t>FÓRMULAS DE COSTOS (Industria - Enjoya)</t>
        </is>
      </c>
    </row>
    <row r="12">
      <c r="A12" s="7" t="inlineStr">
        <is>
          <t>Fórmula / Concepto</t>
        </is>
      </c>
      <c r="B12" s="7" t="inlineStr">
        <is>
          <t>Explicación</t>
        </is>
      </c>
      <c r="C12" s="6" t="n"/>
    </row>
    <row r="13">
      <c r="A13" s="76" t="inlineStr">
        <is>
          <t>MPD = Cantidad usada × Costo unitario</t>
        </is>
      </c>
      <c r="B13" s="14" t="inlineStr">
        <is>
          <t>Materia Prima Directa: insumos directos de la joya</t>
        </is>
      </c>
      <c r="C13" s="77" t="n"/>
    </row>
    <row r="14">
      <c r="A14" s="78" t="inlineStr">
        <is>
          <t>MOD = Horas trabajadas × Tarifa/hora</t>
        </is>
      </c>
      <c r="B14" s="8" t="inlineStr">
        <is>
          <t>Mano de Obra Directa (tarifa aprox. S/ 7.10/hr)</t>
        </is>
      </c>
      <c r="C14" s="20" t="n"/>
    </row>
    <row r="15">
      <c r="A15" s="76" t="inlineStr">
        <is>
          <t>CIF = % asignado × Costo mensual indirecto</t>
        </is>
      </c>
      <c r="B15" s="14" t="inlineStr">
        <is>
          <t>Costos Indirectos de Fabricación: luz, web, transporte</t>
        </is>
      </c>
      <c r="C15" s="77" t="n"/>
    </row>
    <row r="16">
      <c r="A16" s="78" t="inlineStr">
        <is>
          <t>Costo Unitario = MPD + MOD + CIF</t>
        </is>
      </c>
      <c r="B16" s="8" t="inlineStr">
        <is>
          <t>Costo total de producir 1 unidad</t>
        </is>
      </c>
      <c r="C16" s="20" t="n"/>
    </row>
    <row r="17">
      <c r="A17" s="76" t="inlineStr">
        <is>
          <t>Posible sacrificar el margen, mas no el costo</t>
        </is>
      </c>
      <c r="B17" s="14" t="inlineStr">
        <is>
          <t>Principio clave de pricing para Enjoya</t>
        </is>
      </c>
      <c r="C17" s="77" t="n"/>
    </row>
    <row r="19" ht="20" customHeight="1">
      <c r="A19" s="3" t="inlineStr">
        <is>
          <t>PUNTO DE EQUILIBRIO</t>
        </is>
      </c>
    </row>
    <row r="20">
      <c r="A20" s="7" t="inlineStr">
        <is>
          <t>Fórmula / Concepto</t>
        </is>
      </c>
      <c r="B20" s="7" t="inlineStr">
        <is>
          <t>Explicación</t>
        </is>
      </c>
      <c r="C20" s="6" t="n"/>
    </row>
    <row r="21">
      <c r="A21" s="76" t="inlineStr">
        <is>
          <t>PE = CF / (PV − CU)</t>
        </is>
      </c>
      <c r="B21" s="14" t="inlineStr">
        <is>
          <t>Unidades mínimas a vender para cubrir costos</t>
        </is>
      </c>
      <c r="C21" s="77" t="n"/>
    </row>
    <row r="22">
      <c r="A22" s="78" t="inlineStr">
        <is>
          <t>CF Enjoya = S/ 2,797.00/mes</t>
        </is>
      </c>
      <c r="B22" s="8" t="inlineStr">
        <is>
          <t>Costos fijos operativos mensuales actuales</t>
        </is>
      </c>
      <c r="C22" s="20" t="n"/>
    </row>
    <row r="23">
      <c r="A23" s="76" t="inlineStr">
        <is>
          <t>PE soles = PE unidades × Precio Venta</t>
        </is>
      </c>
      <c r="B23" s="14" t="inlineStr">
        <is>
          <t>Ingreso mínimo necesario para cubrir costos</t>
        </is>
      </c>
      <c r="C23" s="77" t="n"/>
    </row>
    <row r="24">
      <c r="A24" s="78" t="inlineStr">
        <is>
          <t>Margen % = (PV − CU) / PV × 100</t>
        </is>
      </c>
      <c r="B24" s="8" t="inlineStr">
        <is>
          <t>Porcentaje de ganancia sobre el precio</t>
        </is>
      </c>
      <c r="C24" s="20" t="n"/>
    </row>
    <row r="25">
      <c r="A25" s="76" t="inlineStr">
        <is>
          <t>OJO: Costo → recuperable | Gasto → generó ingreso</t>
        </is>
      </c>
      <c r="B25" s="14" t="inlineStr">
        <is>
          <t>Diferencia clave costo vs gasto</t>
        </is>
      </c>
      <c r="C25" s="77" t="n"/>
    </row>
    <row r="27" ht="20" customHeight="1">
      <c r="A27" s="3" t="inlineStr">
        <is>
          <t>RÉGIMEN TRIBUTARIO RUS</t>
        </is>
      </c>
    </row>
    <row r="28">
      <c r="A28" s="7" t="inlineStr">
        <is>
          <t>Fórmula / Concepto</t>
        </is>
      </c>
      <c r="B28" s="7" t="inlineStr">
        <is>
          <t>Explicación</t>
        </is>
      </c>
      <c r="C28" s="6" t="n"/>
    </row>
    <row r="29">
      <c r="A29" s="76" t="inlineStr">
        <is>
          <t>Límite anual: S/ 96,000</t>
        </is>
      </c>
      <c r="B29" s="14" t="inlineStr">
        <is>
          <t>Superar implica cambiar de régimen (RER o Mype)</t>
        </is>
      </c>
      <c r="C29" s="77" t="n"/>
    </row>
    <row r="30">
      <c r="A30" s="78" t="inlineStr">
        <is>
          <t>Cuota &lt; S/ 5,000/mes: S/ 20</t>
        </is>
      </c>
      <c r="B30" s="8" t="inlineStr">
        <is>
          <t>Cuota mensual RUS categoría 1</t>
        </is>
      </c>
      <c r="C30" s="20" t="n"/>
    </row>
    <row r="31">
      <c r="A31" s="76" t="inlineStr">
        <is>
          <t>Cuota S/ 5,000 – S/ 8,000/mes: S/ 50</t>
        </is>
      </c>
      <c r="B31" s="14" t="inlineStr">
        <is>
          <t>Cuota mensual RUS categoría 2</t>
        </is>
      </c>
      <c r="C31" s="77" t="n"/>
    </row>
    <row r="32">
      <c r="A32" s="78" t="inlineStr">
        <is>
          <t>Sin IGV: no cobrar ni deducir</t>
        </is>
      </c>
      <c r="B32" s="8" t="inlineStr">
        <is>
          <t>En RUS no aplica IGV</t>
        </is>
      </c>
      <c r="C32" s="20" t="n"/>
    </row>
    <row r="33">
      <c r="A33" s="76" t="inlineStr">
        <is>
          <t>Regimen especial RUC 20: ferias y más</t>
        </is>
      </c>
      <c r="B33" s="14" t="inlineStr">
        <is>
          <t>Posibilidad de operar en ferias con RUC 20</t>
        </is>
      </c>
      <c r="C33" s="77" t="n"/>
    </row>
    <row r="35" ht="20" customHeight="1">
      <c r="A35" s="3" t="inlineStr">
        <is>
          <t>PRODUCTOS ESTRELLA ENJOYA</t>
        </is>
      </c>
    </row>
    <row r="36">
      <c r="A36" s="7" t="inlineStr">
        <is>
          <t>Fórmula / Concepto</t>
        </is>
      </c>
      <c r="B36" s="7" t="inlineStr">
        <is>
          <t>Explicación</t>
        </is>
      </c>
      <c r="C36" s="6" t="n"/>
    </row>
    <row r="37">
      <c r="A37" s="76" t="inlineStr">
        <is>
          <t>CL01 — Collar dije circular 1.5cm</t>
        </is>
      </c>
      <c r="B37" s="14" t="inlineStr">
        <is>
          <t>Costo S/76.66 | Precio S/149 | Margen S/72.34 (48.6%)</t>
        </is>
      </c>
      <c r="C37" s="77" t="n"/>
    </row>
    <row r="38">
      <c r="A38" s="78" t="inlineStr">
        <is>
          <t>CL02 — Collar dije circular 2cm</t>
        </is>
      </c>
      <c r="B38" s="8" t="inlineStr">
        <is>
          <t>Costo S/84.66 | Precio S/169 | Margen S/84.34 (49.9%)</t>
        </is>
      </c>
      <c r="C38" s="20" t="n"/>
    </row>
    <row r="39">
      <c r="A39" s="76" t="inlineStr">
        <is>
          <t>PL07 — Pulsera hilo negro dije</t>
        </is>
      </c>
      <c r="B39" s="14" t="inlineStr">
        <is>
          <t>Costo S/70.66 | Precio S/149 | Margen S/78.34 (52.6%)</t>
        </is>
      </c>
      <c r="C39" s="77" t="n"/>
    </row>
    <row r="40">
      <c r="A40" s="78" t="inlineStr">
        <is>
          <t>PL01 — Pulsera dije colgante 2cm</t>
        </is>
      </c>
      <c r="B40" s="8" t="inlineStr">
        <is>
          <t>Costo S/58.66 | Precio S/ 89 | Margen S/30.34 (34.1%)</t>
        </is>
      </c>
      <c r="C40" s="20" t="n"/>
    </row>
    <row r="41">
      <c r="A41" s="76" t="inlineStr">
        <is>
          <t>PL08 — Pulsera con cadena</t>
        </is>
      </c>
      <c r="B41" s="14" t="inlineStr">
        <is>
          <t>Costo S/74.66 | Precio S/149 | Margen S/74.34 (49.9%)</t>
        </is>
      </c>
      <c r="C41" s="77" t="n"/>
    </row>
    <row r="42">
      <c r="A42" s="78" t="inlineStr">
        <is>
          <t>Huellita — Pulsera resina</t>
        </is>
      </c>
      <c r="B42" s="8" t="inlineStr">
        <is>
          <t>Costo S/55.16 | Precio S/ 89 | Margen S/33.84 (38.0%)</t>
        </is>
      </c>
      <c r="C42" s="20" t="n"/>
    </row>
    <row r="44" ht="20" customHeight="1">
      <c r="A44" s="3" t="inlineStr">
        <is>
          <t>COLORES DE REFERENCIA EN ESTE EXCEL</t>
        </is>
      </c>
    </row>
    <row r="45">
      <c r="A45" s="7" t="inlineStr">
        <is>
          <t>Fórmula / Concepto</t>
        </is>
      </c>
      <c r="B45" s="7" t="inlineStr">
        <is>
          <t>Explicación</t>
        </is>
      </c>
      <c r="C45" s="6" t="n"/>
    </row>
    <row r="46">
      <c r="A46" s="78" t="inlineStr">
        <is>
          <t>Azul oscuro (encabezados)</t>
        </is>
      </c>
      <c r="B46" s="8" t="inlineStr">
        <is>
          <t>Títulos y totales principales</t>
        </is>
      </c>
      <c r="C46" s="20" t="n"/>
    </row>
    <row r="47">
      <c r="A47" s="76" t="inlineStr">
        <is>
          <t>Verde claro</t>
        </is>
      </c>
      <c r="B47" s="14" t="inlineStr">
        <is>
          <t>Datos positivos, MPD (Materia Prima Directa)</t>
        </is>
      </c>
      <c r="C47" s="77" t="n"/>
    </row>
    <row r="48">
      <c r="A48" s="78" t="inlineStr">
        <is>
          <t>Amarillo claro</t>
        </is>
      </c>
      <c r="B48" s="8" t="inlineStr">
        <is>
          <t>Advertencias RUS, CIF (Costos Indirectos)</t>
        </is>
      </c>
      <c r="C48" s="20" t="n"/>
    </row>
    <row r="49">
      <c r="A49" s="76" t="inlineStr">
        <is>
          <t>Rojo claro</t>
        </is>
      </c>
      <c r="B49" s="14" t="inlineStr">
        <is>
          <t>Alertas, valores críticos, punto de equilibrio</t>
        </is>
      </c>
      <c r="C49" s="77" t="n"/>
    </row>
    <row r="50">
      <c r="A50" s="78" t="inlineStr">
        <is>
          <t>Gris claro</t>
        </is>
      </c>
      <c r="B50" s="8" t="inlineStr">
        <is>
          <t>Filas alternas para mejor lectura, costos fijos</t>
        </is>
      </c>
      <c r="C50" s="20" t="n"/>
    </row>
  </sheetData>
  <mergeCells count="7">
    <mergeCell ref="A19:C19"/>
    <mergeCell ref="A11:C11"/>
    <mergeCell ref="A44:C44"/>
    <mergeCell ref="A1:C1"/>
    <mergeCell ref="A27:C27"/>
    <mergeCell ref="A3:C3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2026-05-21T01:20:37Z</dcterms:created>
  <dcterms:modified xsi:type="dcterms:W3CDTF">2026-05-21T01:20:37Z</dcterms:modified>
</cp:coreProperties>
</file>