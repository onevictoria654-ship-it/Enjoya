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  <sheet state="visible" name="Respuestas de formulario 2" sheetId="2" r:id="rId6"/>
    <sheet state="visible" name="Total" sheetId="3" r:id="rId7"/>
  </sheets>
  <definedNames/>
  <calcPr/>
</workbook>
</file>

<file path=xl/sharedStrings.xml><?xml version="1.0" encoding="utf-8"?>
<sst xmlns="http://schemas.openxmlformats.org/spreadsheetml/2006/main" count="2532" uniqueCount="890">
  <si>
    <t>Marca temporal</t>
  </si>
  <si>
    <t>Dirección de correo electrónico</t>
  </si>
  <si>
    <t>Nombre Completo</t>
  </si>
  <si>
    <t>Edad</t>
  </si>
  <si>
    <t>Número de teléfono de contacto</t>
  </si>
  <si>
    <t>Cantidad</t>
  </si>
  <si>
    <t>Pedido</t>
  </si>
  <si>
    <t xml:space="preserve">¿Tiene Grabado adelante? 
Recuerda  está incluido en tu pedido. </t>
  </si>
  <si>
    <t xml:space="preserve">¿Tiene Grabado atrás? 
Recuerda  que tiene un costo de s/15 de fecha o texto corto como nombre, si es un parrafo, lo que entre el dije el costo seria de s/35.  </t>
  </si>
  <si>
    <t>¿Cómo recogeras tu pedido?</t>
  </si>
  <si>
    <t xml:space="preserve">Si marcó Enviar Moto, por favor indicar lo siguiente: DIRECCION - Nombre y Celular de Persona que recibe.  (Es un servicio programado por lo que el horario de entrega es de 1 a 6pm) </t>
  </si>
  <si>
    <t xml:space="preserve">Si marcó Enviar por Shalom, por favor indicar lo siguiente de la persona que recibe: Nombre Completo, Celular, DNI, Agencia Shalom a entregar. (El tiempo de entrega es entre 2 a 3 dias habiles) </t>
  </si>
  <si>
    <t>Red Social de Contacto</t>
  </si>
  <si>
    <t>¿Para quien es el pedido?</t>
  </si>
  <si>
    <t xml:space="preserve">Si es un recuerdo de una mascotita, coméntanos </t>
  </si>
  <si>
    <t>Colocar aqui cualquier observación sobre tu pedido</t>
  </si>
  <si>
    <t>Columna 16</t>
  </si>
  <si>
    <t xml:space="preserve">¿Cual es el nombre de quien lo atendió? </t>
  </si>
  <si>
    <t>Columna 18</t>
  </si>
  <si>
    <t>sandraflores.he@gmail.com</t>
  </si>
  <si>
    <t>Sandra</t>
  </si>
  <si>
    <t>..</t>
  </si>
  <si>
    <t>,,</t>
  </si>
  <si>
    <t>Pin para Groomer</t>
  </si>
  <si>
    <t>Mezclar Tijeras, Huellitas para Groomer</t>
  </si>
  <si>
    <t>x</t>
  </si>
  <si>
    <t>Recoger de Jesus Maria</t>
  </si>
  <si>
    <t>No es de mascotita</t>
  </si>
  <si>
    <t>stock</t>
  </si>
  <si>
    <t>lvargas0733@gmail.com</t>
  </si>
  <si>
    <t>LUIS FERNANDO VARGAS HERRERA</t>
  </si>
  <si>
    <t>CL02 Collar dije circular 2cm s/169</t>
  </si>
  <si>
    <t>X</t>
  </si>
  <si>
    <t>Enviar una Moto (costo dependerá del lugar de destino en Lima)</t>
  </si>
  <si>
    <t xml:space="preserve">Luis Vargas 996105445 dni 07330102 </t>
  </si>
  <si>
    <t>Luis Vargas 996105445 dni 07330102</t>
  </si>
  <si>
    <t>Whatsapp</t>
  </si>
  <si>
    <t>Para mi</t>
  </si>
  <si>
    <t>La mascotita está contigo  🐾🎉</t>
  </si>
  <si>
    <t>En oro</t>
  </si>
  <si>
    <t>Daniela</t>
  </si>
  <si>
    <t>cramirezt@gmail.com</t>
  </si>
  <si>
    <t xml:space="preserve">Claudia Ramirez Taboada </t>
  </si>
  <si>
    <t>Letra C</t>
  </si>
  <si>
    <t>No</t>
  </si>
  <si>
    <t>Recojo cuando te vea</t>
  </si>
  <si>
    <t>.</t>
  </si>
  <si>
    <t>Por recomendacion de otra persona</t>
  </si>
  <si>
    <t>yaretal01@gmail.com</t>
  </si>
  <si>
    <t xml:space="preserve">Jenifer Mendoza </t>
  </si>
  <si>
    <t xml:space="preserve">Collar corazón  </t>
  </si>
  <si>
    <t xml:space="preserve">Si </t>
  </si>
  <si>
    <t xml:space="preserve">No </t>
  </si>
  <si>
    <t>Jirón Aldebaran 420, Dpto T302, Santiago de surco / Jenifer Mendoza / 920673596</t>
  </si>
  <si>
    <t>Instagram</t>
  </si>
  <si>
    <t xml:space="preserve">Para una amiga </t>
  </si>
  <si>
    <t xml:space="preserve">Es para regalo de cumpleaños </t>
  </si>
  <si>
    <t>flosenruot@gmail.com</t>
  </si>
  <si>
    <t>Leslie Fernanda Bustamante Cáceres</t>
  </si>
  <si>
    <t>Dije varón 180</t>
  </si>
  <si>
    <t>Aún no estoy segura</t>
  </si>
  <si>
    <t>Enviar a través de Agencia Shalom (costo s/12) a todo el Perú</t>
  </si>
  <si>
    <t>Yaan Carl Bustamante Valdivia, 951615392, 02429804, agencia Pumacahua</t>
  </si>
  <si>
    <t>xvillanuevap@gmail.com</t>
  </si>
  <si>
    <t>Ximena Villanueva Paz</t>
  </si>
  <si>
    <t>CL01 Collar dije circular 1.5cm s/149</t>
  </si>
  <si>
    <t>Sí</t>
  </si>
  <si>
    <t>-</t>
  </si>
  <si>
    <t xml:space="preserve">Por recomendacion de otra persona, Por POM SOCIETY LIMAAAA Wuuuu </t>
  </si>
  <si>
    <t xml:space="preserve">Amigas </t>
  </si>
  <si>
    <t>Pedido para el viernes 17 de oct</t>
  </si>
  <si>
    <t>Pedido para el viernes 24 de oct</t>
  </si>
  <si>
    <t>sandraflores@gmail.com</t>
  </si>
  <si>
    <t>Circular Maltes Pulsera</t>
  </si>
  <si>
    <t>Stock</t>
  </si>
  <si>
    <t>ya diseño listo</t>
  </si>
  <si>
    <t>circular yorki</t>
  </si>
  <si>
    <t>cliente ig</t>
  </si>
  <si>
    <t>circular con Jack Russel otro modelo</t>
  </si>
  <si>
    <t>circular Pom</t>
  </si>
  <si>
    <t>para la feria del fin de semana</t>
  </si>
  <si>
    <t>silueta pomerania con orejas</t>
  </si>
  <si>
    <t xml:space="preserve">Instagram, </t>
  </si>
  <si>
    <t>feria</t>
  </si>
  <si>
    <t>marice91444@gmail.com</t>
  </si>
  <si>
    <t xml:space="preserve">Mariana Cecilia Sifuentes Moreno </t>
  </si>
  <si>
    <t>Pulsera plata pom</t>
  </si>
  <si>
    <t>Mariscal Miller 1030 departamento 1403</t>
  </si>
  <si>
    <t>Pulsera tejida color azul oscuro</t>
  </si>
  <si>
    <t>egueziraipi@gmail.com</t>
  </si>
  <si>
    <t>Arianne Eguez</t>
  </si>
  <si>
    <t>pulsera color rojo dije colgante circular con huellita adelante y atra letra T</t>
  </si>
  <si>
    <t xml:space="preserve">Si, huella lineal </t>
  </si>
  <si>
    <t>letra T</t>
  </si>
  <si>
    <t>Lara</t>
  </si>
  <si>
    <t>Pulsera color rojo con dije colgante circular tamaño 1cm con huellita adelante y atras letra T</t>
  </si>
  <si>
    <t>sandra.fh2@gmail.com</t>
  </si>
  <si>
    <t>Claudia- Lara</t>
  </si>
  <si>
    <t>xx</t>
  </si>
  <si>
    <t xml:space="preserve">dije circular con la silueta de su perrito </t>
  </si>
  <si>
    <t xml:space="preserve">si grabado solo lineal de la silueta </t>
  </si>
  <si>
    <t>no</t>
  </si>
  <si>
    <t>pulsera con dije circular con orejas , silueta del perrito con hilo color por definir</t>
  </si>
  <si>
    <t>mirellapierina@yahoo.com</t>
  </si>
  <si>
    <t>Pierina Andreazza</t>
  </si>
  <si>
    <t>P07 Pulsera con hilo negro dije circular s/149</t>
  </si>
  <si>
    <t>Otto</t>
  </si>
  <si>
    <t>Calle 10 404 Pasaje 15 Dpto 204 San Borja</t>
  </si>
  <si>
    <t>Facebook</t>
  </si>
  <si>
    <t>mi hijo cumpleaños</t>
  </si>
  <si>
    <t>hacer el parecido con la foto sino buscar en internet a un chihuahua, entregar el Lunes 27</t>
  </si>
  <si>
    <t>Rosabel Alarcón</t>
  </si>
  <si>
    <t>Collar con 2 siluetas de mascotas</t>
  </si>
  <si>
    <t>2 perritos</t>
  </si>
  <si>
    <t>Feria indecopi</t>
  </si>
  <si>
    <t>Cadena con dije silueta de 2 perritos, enviar a Indecopi y dar 2 opciones de cadenas</t>
  </si>
  <si>
    <t xml:space="preserve">Dije silueta cuerpo completo </t>
  </si>
  <si>
    <t>En plata con baño de oro</t>
  </si>
  <si>
    <t>dije circular 1.3cm con orejas jack russell</t>
  </si>
  <si>
    <t>si</t>
  </si>
  <si>
    <t>dije circular 1.3cm con orejas</t>
  </si>
  <si>
    <t>erimeder@yahoo.com</t>
  </si>
  <si>
    <t>Erika Meder Freyre</t>
  </si>
  <si>
    <t>Pulsera con huella</t>
  </si>
  <si>
    <t>Si</t>
  </si>
  <si>
    <t>Erika 962828484</t>
  </si>
  <si>
    <t>Huella con nombre de mascota</t>
  </si>
  <si>
    <t>marielasolanovilela@gmail.com</t>
  </si>
  <si>
    <t xml:space="preserve">Mariela solano vilela </t>
  </si>
  <si>
    <t>DL01 Dije circular solo 1.5cm s/119</t>
  </si>
  <si>
    <t>Ok</t>
  </si>
  <si>
    <t>Av roca y boloña 1210 miraflores  sr roberto</t>
  </si>
  <si>
    <t>Av roca y boloña 1210 miraflores sr Roberto</t>
  </si>
  <si>
    <t>Instagram, Facebook</t>
  </si>
  <si>
    <t xml:space="preserve">Por favor avisar cuando estén en camino a mi celular ya que aveces no estamos y portería esta antes de la 6pm se va gracias </t>
  </si>
  <si>
    <t>Mariana Cecilia Sifuentes Moreno</t>
  </si>
  <si>
    <t>Yeontan</t>
  </si>
  <si>
    <t>Mariana Sifuentes ( 944241485)</t>
  </si>
  <si>
    <t>Ninguna</t>
  </si>
  <si>
    <t>solange2097@outlook.com</t>
  </si>
  <si>
    <t xml:space="preserve">Solange Castro </t>
  </si>
  <si>
    <t>Collar con dije cabecita y nombre</t>
  </si>
  <si>
    <t>Max</t>
  </si>
  <si>
    <t>Enrique Marcial Niño Leyva, 48582500,947434306,</t>
  </si>
  <si>
    <t>Que lo realicen con mucha dedicación, porque lo mando hacer con mucho amor</t>
  </si>
  <si>
    <t>jimestigler2010@gmail.com</t>
  </si>
  <si>
    <t>Jimena Stigler</t>
  </si>
  <si>
    <t>Whatsapp, Instagram</t>
  </si>
  <si>
    <t>Mariana Araujo</t>
  </si>
  <si>
    <t>Es un regalo por el cumpleaños de una compañera que quiere mucho a su perrita que aún está viva:)</t>
  </si>
  <si>
    <t>Vanessa</t>
  </si>
  <si>
    <t xml:space="preserve">Collar con dije alas </t>
  </si>
  <si>
    <t>sobrina confirmación</t>
  </si>
  <si>
    <t>Entregar el 13 de nov</t>
  </si>
  <si>
    <t>giani1003@gmail.com</t>
  </si>
  <si>
    <t>Erika gamarra s</t>
  </si>
  <si>
    <t>Huacho</t>
  </si>
  <si>
    <t>P03 Pulsera dije circular 2cm con orejas s/149</t>
  </si>
  <si>
    <t>Erika Gamarra Serna</t>
  </si>
  <si>
    <t>Erika Gamarra Serna, Dni:72560263, Huacho/Huaura/Lima, agencia shalom d mercedes indacochea</t>
  </si>
  <si>
    <t>Mejor amiga</t>
  </si>
  <si>
    <t>Color negro</t>
  </si>
  <si>
    <t>vtorresi.1987@gmail.com</t>
  </si>
  <si>
    <t xml:space="preserve">Vanessa Torres Illatarqui </t>
  </si>
  <si>
    <t>Pulsera Huellita</t>
  </si>
  <si>
    <t>La mascotita ya está en el arcoiris 🌈🙏</t>
  </si>
  <si>
    <t>Debe decir: Otto</t>
  </si>
  <si>
    <t>merh9795@gmail.com</t>
  </si>
  <si>
    <t>Elizabeth Ramos Hinojo</t>
  </si>
  <si>
    <t>Si : Cheetos</t>
  </si>
  <si>
    <t>Cheetos</t>
  </si>
  <si>
    <t>Espero con ansias mi pedido</t>
  </si>
  <si>
    <t>lucia.gonzalesr@gmail.com</t>
  </si>
  <si>
    <t xml:space="preserve">Lucia Gonzales </t>
  </si>
  <si>
    <t>Pulsera con dijes</t>
  </si>
  <si>
    <t xml:space="preserve">Via principal 155 torre B San Isidro </t>
  </si>
  <si>
    <t>Regalo</t>
  </si>
  <si>
    <t>Es para regalo</t>
  </si>
  <si>
    <t>Delian_11_03@hotmail.com</t>
  </si>
  <si>
    <t>Deliana</t>
  </si>
  <si>
    <t>Deliana Rodriguez asqui,  40819766</t>
  </si>
  <si>
    <t>Whatsapp, Facebook</t>
  </si>
  <si>
    <t>xx@gmail.com</t>
  </si>
  <si>
    <t>Lucia gonzales</t>
  </si>
  <si>
    <t>Zx</t>
  </si>
  <si>
    <t>Xxx</t>
  </si>
  <si>
    <t>Aretes snauzer pero colgantes</t>
  </si>
  <si>
    <t>Reglo</t>
  </si>
  <si>
    <t xml:space="preserve">Aretes colgantes </t>
  </si>
  <si>
    <t>geminisor23@gmail.com</t>
  </si>
  <si>
    <t xml:space="preserve">Haydee cristina Febres Casaverde </t>
  </si>
  <si>
    <t>Una pulsera</t>
  </si>
  <si>
    <t>Es una pulsera con dije de acero</t>
  </si>
  <si>
    <t xml:space="preserve">El nombre de mi mascota es Bebé </t>
  </si>
  <si>
    <t>No en moto no</t>
  </si>
  <si>
    <t>Av Tipac Amaru 441-443   Carabayllo referencia paradero Establo Haydee cristina Febres Casaverde  956165361.10408172</t>
  </si>
  <si>
    <t>Elizabeth Ramos ńHinojo</t>
  </si>
  <si>
    <t>Xx</t>
  </si>
  <si>
    <t>CL03 Collar con dije silueta 2.6cm s/185</t>
  </si>
  <si>
    <t>A Adoptaton</t>
  </si>
  <si>
    <t>Novio</t>
  </si>
  <si>
    <t>Lo mismo que el se832 pero con otro molde otra joya</t>
  </si>
  <si>
    <t xml:space="preserve">Victor </t>
  </si>
  <si>
    <t>pulsera tejida color rojo con dije circular y fecha atras</t>
  </si>
  <si>
    <t>adelante Toby y un simbolo de corazón y atrás 20-11-24</t>
  </si>
  <si>
    <t>mm</t>
  </si>
  <si>
    <t>ecristy2022@gmail.com</t>
  </si>
  <si>
    <t>Cristina Huayamave</t>
  </si>
  <si>
    <t xml:space="preserve">Collar con 2 nombres y con diseño que los una. El nombre es *Celia María* </t>
  </si>
  <si>
    <t>Por definir</t>
  </si>
  <si>
    <t xml:space="preserve">Clienta </t>
  </si>
  <si>
    <t xml:space="preserve">El collar es para una adolescente de 15 años y la clienta quiere ver que diseño se le propone para que se unan los 2 nombres. </t>
  </si>
  <si>
    <t>Pulsera huellita con nombre</t>
  </si>
  <si>
    <t>1era pulsera: Shonky 2da pulsera:  Juliat</t>
  </si>
  <si>
    <t>matysantos@gmail.com</t>
  </si>
  <si>
    <t>Maria Santos</t>
  </si>
  <si>
    <t>P02 Pulsera dije circular 2cm con huecos s/149</t>
  </si>
  <si>
    <t>Cara del perrito y su nombre Dobby</t>
  </si>
  <si>
    <t xml:space="preserve">Para mi hija </t>
  </si>
  <si>
    <t xml:space="preserve">Me envían la dirección para recogerlo. </t>
  </si>
  <si>
    <t>corazonesbellosmishijos@gmail.com</t>
  </si>
  <si>
    <t xml:space="preserve">Juana Rosario Muñante Pachas </t>
  </si>
  <si>
    <t xml:space="preserve">Sí </t>
  </si>
  <si>
    <t>Juana Rosario Muñante Pachas - 21464254 - 992182012 - Av. J.J. Elias - Ica</t>
  </si>
  <si>
    <t>Hijo</t>
  </si>
  <si>
    <t xml:space="preserve">He marcado enviar por empresa, pero, espero poder coordinar el envío </t>
  </si>
  <si>
    <t>jorge.manuel7@hotmail.com</t>
  </si>
  <si>
    <t>Jorge Ramirez Piñeiro</t>
  </si>
  <si>
    <t>01</t>
  </si>
  <si>
    <t>DL02 Dije circular solo 2cm s/139</t>
  </si>
  <si>
    <t xml:space="preserve">Jorge Ramirez Piñeiro- 955859341- 74995245- surco </t>
  </si>
  <si>
    <t xml:space="preserve">Para mi novia </t>
  </si>
  <si>
    <t xml:space="preserve">Que sea de la dimensión que se especificó por WhatsApp sumamente importante por favor 🙏🏼 </t>
  </si>
  <si>
    <t>peramasmonsalve@gmail.com</t>
  </si>
  <si>
    <t xml:space="preserve">Giancarlo Peramás </t>
  </si>
  <si>
    <t>Pulsera plata</t>
  </si>
  <si>
    <t xml:space="preserve">Grabado de mis dos mascotas </t>
  </si>
  <si>
    <t xml:space="preserve">Recoger </t>
  </si>
  <si>
    <t xml:space="preserve">Gracias </t>
  </si>
  <si>
    <t>Lalo</t>
  </si>
  <si>
    <t>Solo dije 1.5cm con persona y perrito</t>
  </si>
  <si>
    <t>sandraflores.he@gmai.com</t>
  </si>
  <si>
    <t>Pulsera con pug</t>
  </si>
  <si>
    <t>san isidro o san borja</t>
  </si>
  <si>
    <t>regalo</t>
  </si>
  <si>
    <t>Hilo rojo</t>
  </si>
  <si>
    <t>pulseras con silueta schnauzer hilo rojo</t>
  </si>
  <si>
    <t>san borja o san isidro</t>
  </si>
  <si>
    <t>hilo rojo los dos</t>
  </si>
  <si>
    <t>heydi86370@gmail.com</t>
  </si>
  <si>
    <t xml:space="preserve">Heydi Giovana Hernández Mendoza </t>
  </si>
  <si>
    <t>KITHY</t>
  </si>
  <si>
    <t>Siempre contigo</t>
  </si>
  <si>
    <t>LOS ZAFIROS 370. URB. SANTA INES</t>
  </si>
  <si>
    <t>Heydi Giovana Hernández Mendoza, celular: 966726043, DNI: 44239295, agencia de Liverpool -Trujillo</t>
  </si>
  <si>
    <t>Hermana</t>
  </si>
  <si>
    <t xml:space="preserve">Muy contenta con mi pedida, espero cumpla mis espectativas </t>
  </si>
  <si>
    <t>spikaperu@gmail.com</t>
  </si>
  <si>
    <t>Claudia Rospigliosi Baixarias</t>
  </si>
  <si>
    <t>dije personalizado en resina con pelito.</t>
  </si>
  <si>
    <t>Para mi, familia</t>
  </si>
  <si>
    <t xml:space="preserve">Confió en su trabajo, por favor si sobra pelito me lo entregan. </t>
  </si>
  <si>
    <t>ale.rivas.t0296@gmail.com</t>
  </si>
  <si>
    <t>Caroline alexandra rivas arce</t>
  </si>
  <si>
    <t>Victor cabezas mora 127 surco, recibe Segundo arce cel 910788235</t>
  </si>
  <si>
    <t>Parte de adelante imagen y nombre Baloo, en la parte de atras texto corto "Fuiste luz en mi vida, ahora eres mi estrella" y añadi huellita adicional</t>
  </si>
  <si>
    <t>fatimabulejecabrera@gmail.com</t>
  </si>
  <si>
    <t xml:space="preserve">FATIMA LUCIA BULEJE CABRERA </t>
  </si>
  <si>
    <t xml:space="preserve">LLAVERO EN ACERO EN 3 CM </t>
  </si>
  <si>
    <t xml:space="preserve">KIRA </t>
  </si>
  <si>
    <t xml:space="preserve">FATIMA  LUCIA BULEJE CABRERA CEL 914002082 DNI 72219383, SHALON DE JJ ELIAS ICA ICA ICA </t>
  </si>
  <si>
    <t xml:space="preserve">ENAMORADO </t>
  </si>
  <si>
    <t xml:space="preserve">01 LLAVERO EN ACERO NOMBRE KIRA </t>
  </si>
  <si>
    <t>a20120351@pucp.pe</t>
  </si>
  <si>
    <t>Arantxa Ximena Zamudio Diaz</t>
  </si>
  <si>
    <t xml:space="preserve">Si, el nombre Friskies y su cara </t>
  </si>
  <si>
    <t>Calle renoir 273 dpto 302 san Borja - Arantxa Zamudio 987128160</t>
  </si>
  <si>
    <t xml:space="preserve">No tengo observaciones </t>
  </si>
  <si>
    <t>pguardiac@gmail.com</t>
  </si>
  <si>
    <t>Pedro Luis Guardia Campos</t>
  </si>
  <si>
    <t>P01 Pulsera dije circular 2cm colgante  s/149</t>
  </si>
  <si>
    <t>Pedro Luis Guardia Campos, 949721185, 43517874. Agencia: Av Universitaria 7241 Comas</t>
  </si>
  <si>
    <t xml:space="preserve">Sin observaciones </t>
  </si>
  <si>
    <t>Sin observaciones</t>
  </si>
  <si>
    <t>trilce.velasquez@vetsupport.pe</t>
  </si>
  <si>
    <t>Trilce Velásquez Alvarez</t>
  </si>
  <si>
    <t>Reparación de Huellita y Pulsera para Dije</t>
  </si>
  <si>
    <t>Yo mandaré a recoger</t>
  </si>
  <si>
    <t>Sorry x el estado de la huellita jaja, llevaba buen tiempo sin uso</t>
  </si>
  <si>
    <t>Lucas Boutique</t>
  </si>
  <si>
    <t>Pulsera con dije colgante en acero</t>
  </si>
  <si>
    <t>falta preguntar el nombre</t>
  </si>
  <si>
    <t>es por el club del perro mestizo</t>
  </si>
  <si>
    <t xml:space="preserve">Para mi, </t>
  </si>
  <si>
    <t>Michelle</t>
  </si>
  <si>
    <t>Zeus</t>
  </si>
  <si>
    <t xml:space="preserve">Whatsapp, </t>
  </si>
  <si>
    <t>sandra.fh@gmail.com</t>
  </si>
  <si>
    <t xml:space="preserve">dije con camara fotografica </t>
  </si>
  <si>
    <t>n</t>
  </si>
  <si>
    <t xml:space="preserve">Jenifer Mendoza Moreno </t>
  </si>
  <si>
    <t xml:space="preserve">Collar corazón </t>
  </si>
  <si>
    <t>Jr. Aldebaran 420, Dpto. T302, Santiago de Surco / Jenifer Mendoza / 920673596</t>
  </si>
  <si>
    <t xml:space="preserve">Ninguna </t>
  </si>
  <si>
    <t>rvaldzez@quimicasuiza.com</t>
  </si>
  <si>
    <t xml:space="preserve">Milagros Valdez </t>
  </si>
  <si>
    <t>Lucrecio</t>
  </si>
  <si>
    <t xml:space="preserve">I love you forever </t>
  </si>
  <si>
    <t xml:space="preserve">Cañita de regalo por favor </t>
  </si>
  <si>
    <t>mzavalacruz3@gmail.com</t>
  </si>
  <si>
    <t>Carmen Marisela Zavala Cruz</t>
  </si>
  <si>
    <t>55 años</t>
  </si>
  <si>
    <t xml:space="preserve">1 pulsera </t>
  </si>
  <si>
    <t xml:space="preserve">15/12/20 fecha q llegó a nuestras vidas </t>
  </si>
  <si>
    <t xml:space="preserve">Calle Los Girasoles 1030 Los Olivos Carmen Marisela Zavala Cruz </t>
  </si>
  <si>
    <t xml:space="preserve"> </t>
  </si>
  <si>
    <t xml:space="preserve">Para mi hijo es un regalo </t>
  </si>
  <si>
    <t xml:space="preserve">Q pronto llegue y sea un hermoso regalo para mi hijo una pulserita con su foto de su mascotita </t>
  </si>
  <si>
    <t>Collar dije acero 2cm grabado</t>
  </si>
  <si>
    <t xml:space="preserve">Mónica </t>
  </si>
  <si>
    <t>Gracias Miss Promo 2025 Inicial</t>
  </si>
  <si>
    <t>Collar con dije 2cm con grabado adelante y atras</t>
  </si>
  <si>
    <t>Diseño Amelia con estrellas</t>
  </si>
  <si>
    <t>Con virgen y ademas recuerdo de miprimera comunion</t>
  </si>
  <si>
    <t xml:space="preserve">Sobrina </t>
  </si>
  <si>
    <t>urgente</t>
  </si>
  <si>
    <t>mibaes19@hotmail.com</t>
  </si>
  <si>
    <t>Miriam Ibañez</t>
  </si>
  <si>
    <t xml:space="preserve">Arete gatito </t>
  </si>
  <si>
    <t xml:space="preserve">Autoridad Nacional del Agua </t>
  </si>
  <si>
    <t>huellita colgante de 1cm</t>
  </si>
  <si>
    <t>pulsera gatito</t>
  </si>
  <si>
    <t>986 928 748</t>
  </si>
  <si>
    <t>Aretes de huellita</t>
  </si>
  <si>
    <t>hija</t>
  </si>
  <si>
    <t>esta por definir el tipo de huellita</t>
  </si>
  <si>
    <t>aretes labrador</t>
  </si>
  <si>
    <t>Hija</t>
  </si>
  <si>
    <t>autoridad nacional del agua</t>
  </si>
  <si>
    <t>Isabel Frias Paz</t>
  </si>
  <si>
    <t>990 621 100</t>
  </si>
  <si>
    <t>hijo</t>
  </si>
  <si>
    <t>Se realiza diseño un humano y un perrito</t>
  </si>
  <si>
    <t>934 785 513</t>
  </si>
  <si>
    <t>grabado de una mascota en una cara y en otra mascota en otra cara</t>
  </si>
  <si>
    <t>Lili</t>
  </si>
  <si>
    <t>996 651 617</t>
  </si>
  <si>
    <t>pendiente de indicar grabado atras con el nombre Autoridad Nacional del Ana</t>
  </si>
  <si>
    <t>July</t>
  </si>
  <si>
    <t>Pulsera gruesa con dije impresion ambos lados</t>
  </si>
  <si>
    <t>persona</t>
  </si>
  <si>
    <t>Katia</t>
  </si>
  <si>
    <t>dije circular en oro con letra F con nacar piedra</t>
  </si>
  <si>
    <t>definir el tamaño</t>
  </si>
  <si>
    <t>01 dije 2cm con huellitas y dije de piedra octubre</t>
  </si>
  <si>
    <t xml:space="preserve">huellitas </t>
  </si>
  <si>
    <t>identificar lo que se necesita para el diseño, dos huellitas y los datos</t>
  </si>
  <si>
    <t>Collar con dije rectangular con mano de bebé</t>
  </si>
  <si>
    <t>huella adelante con nombre Facu 04.10</t>
  </si>
  <si>
    <t>dasouza55@hotmail.com</t>
  </si>
  <si>
    <t xml:space="preserve">Sara Aracelly Alvarado Da Souza </t>
  </si>
  <si>
    <t>Otros</t>
  </si>
  <si>
    <t>Solo su rostro</t>
  </si>
  <si>
    <t>Sara Aracelly Alvarado Da Souza</t>
  </si>
  <si>
    <t>Que rostros se noten bien</t>
  </si>
  <si>
    <t>mdemidnavarrete@gmail.com</t>
  </si>
  <si>
    <t xml:space="preserve">Melany Demi Depaz Navarrete </t>
  </si>
  <si>
    <t>Mamiuska</t>
  </si>
  <si>
    <t xml:space="preserve">Cesar Valenzuela y celular 924777123. </t>
  </si>
  <si>
    <t>En el diseño que envié considerar las fotos que indique por favor agradecería mucho.</t>
  </si>
  <si>
    <t>Pulsera colgante con dos retratos adelante y uno atras</t>
  </si>
  <si>
    <t>mmvas92@gmail.com</t>
  </si>
  <si>
    <t xml:space="preserve">Maissie Vasquez </t>
  </si>
  <si>
    <t xml:space="preserve">Pulsera con huellita </t>
  </si>
  <si>
    <t>Si, el nombre “Moshi”</t>
  </si>
  <si>
    <t>Luciana</t>
  </si>
  <si>
    <t xml:space="preserve">Es para regalo </t>
  </si>
  <si>
    <t>trini.arana16@gmail.com</t>
  </si>
  <si>
    <t>Trinidad arana</t>
  </si>
  <si>
    <t>P08 Pulsera con cadena s/169</t>
  </si>
  <si>
    <t>Greta</t>
  </si>
  <si>
    <t xml:space="preserve">Confirmar si la.lmagen enviada está bien o debería conseguir otra foto para que salga totalmente bien gracias </t>
  </si>
  <si>
    <t>sandrafh2@gmail.com</t>
  </si>
  <si>
    <t>sandra</t>
  </si>
  <si>
    <t>impresion de prueba</t>
  </si>
  <si>
    <t>jorgeandre2891@gmail.com</t>
  </si>
  <si>
    <t xml:space="preserve">Jorge André </t>
  </si>
  <si>
    <t>Jorge André Gutiérrez Muñoz 989169869 DNI 47364836</t>
  </si>
  <si>
    <t xml:space="preserve">Mamá </t>
  </si>
  <si>
    <t>Todo bien</t>
  </si>
  <si>
    <t>lorena_angela@yahoo.com</t>
  </si>
  <si>
    <t xml:space="preserve">Lorena Rodríguez </t>
  </si>
  <si>
    <t xml:space="preserve"> huellita pulsera</t>
  </si>
  <si>
    <t xml:space="preserve">Las fotos </t>
  </si>
  <si>
    <t xml:space="preserve">Otorongo 165 Urb Maranga Distrito San Miguel </t>
  </si>
  <si>
    <t>Whatsapp, Instagram, Facebook</t>
  </si>
  <si>
    <t>Regalos de navidad</t>
  </si>
  <si>
    <t>richardlr9@gmail.com</t>
  </si>
  <si>
    <t>Richard Lazo</t>
  </si>
  <si>
    <t>01 pulsera con cabecita de mascotita en silueta</t>
  </si>
  <si>
    <t>La cabeza de la mascota</t>
  </si>
  <si>
    <t>Sin grabado atras</t>
  </si>
  <si>
    <t>Recogere en jesus maria</t>
  </si>
  <si>
    <t>Recogeré en jesus maria</t>
  </si>
  <si>
    <t>Regalo para mi enamorada</t>
  </si>
  <si>
    <t>xx@xxx.com</t>
  </si>
  <si>
    <t>pulsera con 3 fotos</t>
  </si>
  <si>
    <t xml:space="preserve">si </t>
  </si>
  <si>
    <t>mirandanashtia73@gmail.com</t>
  </si>
  <si>
    <t>Nashtienka miranda</t>
  </si>
  <si>
    <t>Collar con dije con dos fotitos</t>
  </si>
  <si>
    <t>Si, sashita</t>
  </si>
  <si>
    <t>Nashtienka irina miranda gamboa  , 932173308, 45732424, agencia shalom de la av perú smp</t>
  </si>
  <si>
    <t>No , ninguna</t>
  </si>
  <si>
    <t>zocazu8@yahoo.es</t>
  </si>
  <si>
    <t>Zoila Cardenas Z</t>
  </si>
  <si>
    <t xml:space="preserve">Dije de huellita con cadenita </t>
  </si>
  <si>
    <t>Patita de perrito huellita y nombre</t>
  </si>
  <si>
    <t>Jr Los Cedros 116 dpto 602 urb Valle Hermoso Survo (entre jacaranda y Cristóbal de Peralta espalda tienda Casainelli)</t>
  </si>
  <si>
    <t>Lo necesito urgente a más tardar el martes o miércoles se lo llevarán fuera</t>
  </si>
  <si>
    <t>TATIANAJAMIS@GMAIL.COM</t>
  </si>
  <si>
    <t>Tatiana Jamis Mori</t>
  </si>
  <si>
    <t>Sí, la cara de la perrita y el nombre FRIDA</t>
  </si>
  <si>
    <t xml:space="preserve">Negrita </t>
  </si>
  <si>
    <t xml:space="preserve">Jr. José María Galdeano y Mendoza 1088, cercado de Lima. Altuda cuada 16 de Av. Colonial. </t>
  </si>
  <si>
    <t>Tatiana Jamis Mori, celular 987769799, DNI 09802974</t>
  </si>
  <si>
    <t>Mi hermana</t>
  </si>
  <si>
    <t>La mascotita está enferma a punto de partir, el regalo es para mi hermana que es la dueña y para su cuidadora.</t>
  </si>
  <si>
    <t>geraldors1990@gmail.com</t>
  </si>
  <si>
    <t xml:space="preserve">GERALDO RAMOS SALDARRIAGA </t>
  </si>
  <si>
    <t>Pedidos</t>
  </si>
  <si>
    <t xml:space="preserve">Calle José María de Arce 363 San Miguel </t>
  </si>
  <si>
    <t>Psdres</t>
  </si>
  <si>
    <t xml:space="preserve">Nombre de la mascota ASHA </t>
  </si>
  <si>
    <t>josef.cambillo@gmail.com</t>
  </si>
  <si>
    <t xml:space="preserve">Josef Ronie Cambillo Abanto </t>
  </si>
  <si>
    <t>34 años</t>
  </si>
  <si>
    <t>Pulsera ajustable con dije schnauzer en plata con nombre personalizado</t>
  </si>
  <si>
    <t>Av. Militar 1570 Lince / Lucero Delia Huaman Ruiz / 956004985</t>
  </si>
  <si>
    <t>El nombre de mi mascota es: Toretto
Tal cual el nombre de mi mascota la primera letra en mayúscula y luego minúsculas.</t>
  </si>
  <si>
    <t>Miriam</t>
  </si>
  <si>
    <t>Ana</t>
  </si>
  <si>
    <t>DL01 Dije circular solo 1.5cm s/119, P07 Pulsera con hilo negro dije circular s/149, 1 pulcera y 2 dijes de 1.5</t>
  </si>
  <si>
    <t>si Motita</t>
  </si>
  <si>
    <t xml:space="preserve">yo envio. </t>
  </si>
  <si>
    <t>2 dijes de 1.5 y una pulsera</t>
  </si>
  <si>
    <t>jtiradopintado@gmail.com</t>
  </si>
  <si>
    <t xml:space="preserve">Jannett Noemí Tirado Pintado </t>
  </si>
  <si>
    <t>Si ,su Carita y nombre(Tommy)</t>
  </si>
  <si>
    <t xml:space="preserve">Asociación Villa Gloria Mz A lote 21 Carabayllo </t>
  </si>
  <si>
    <t>La foto y nombré de mi perrito</t>
  </si>
  <si>
    <t>cartagena.andrea@hotmail.com</t>
  </si>
  <si>
    <t xml:space="preserve">Andrea Cartagena </t>
  </si>
  <si>
    <t xml:space="preserve">Dos dijes </t>
  </si>
  <si>
    <t>Si la cara de mi gato y atrás su nombre</t>
  </si>
  <si>
    <t xml:space="preserve">Milo </t>
  </si>
  <si>
    <t>Jr Eduardo ordoñez 161 San Borja, Andrea Cartagena 997881109</t>
  </si>
  <si>
    <t>No marqué shalom</t>
  </si>
  <si>
    <t>Regalo de Navidad y para mi</t>
  </si>
  <si>
    <t xml:space="preserve">Es el tercer pedido que hacemos con ustedes porque nos gusta su trabajo espero que salga bien como los demás </t>
  </si>
  <si>
    <t>victoriavillalobosruiz@gmail.com</t>
  </si>
  <si>
    <t>Victoria Elvira Villalobos Ruiz</t>
  </si>
  <si>
    <t>Calle Carlos Gonzáles Posada 183 San Miguel.</t>
  </si>
  <si>
    <t>Victoria Villalobos. DNI: 08293375.</t>
  </si>
  <si>
    <t>Su nombre es KIMBA.</t>
  </si>
  <si>
    <t>lourdesrezzonico@gmail.com</t>
  </si>
  <si>
    <t>Lourdes Rezzonico</t>
  </si>
  <si>
    <t>Maya</t>
  </si>
  <si>
    <t xml:space="preserve">Calle audiencia 196, san Isidro </t>
  </si>
  <si>
    <t>Marcela Quevedo +51 920 548 242</t>
  </si>
  <si>
    <t>Amiga</t>
  </si>
  <si>
    <t>Mande la foto por mensaje, el nombre es Maya</t>
  </si>
  <si>
    <t>pachecoxiomara4@gmail.com</t>
  </si>
  <si>
    <t xml:space="preserve">Xiomara Ivett Pacheco Gutierrez </t>
  </si>
  <si>
    <t>Luna🌙🐾</t>
  </si>
  <si>
    <t>Siempre te cuidare ❤️🐾</t>
  </si>
  <si>
    <t xml:space="preserve">No moto sino por agencia </t>
  </si>
  <si>
    <t>Xiomara Ivett Pacheco Gutierrez. DNI. 79199884. Agencia Shalom San Joaquín ICA</t>
  </si>
  <si>
    <t>Es un regalo.. Quisiera que en el nombre se le Agregué una media Luna y una huellita de perrito. En la parte de abajo o arriba de la cabecita . Hilo beige con bolitas a los lados y al final de la pulsera.</t>
  </si>
  <si>
    <t>Jorge André Gutiérrez Muñoz</t>
  </si>
  <si>
    <t>Jorge André Gutiérrez Muñoz 989169869 47364836 Shalom Uceda Meza Trujillo La Libertad</t>
  </si>
  <si>
    <t>Para mí sobrina</t>
  </si>
  <si>
    <t xml:space="preserve">Todo bien gracias </t>
  </si>
  <si>
    <t>kelita.torpoco05@gmail.com</t>
  </si>
  <si>
    <t xml:space="preserve">Thais Kelita Torpoco Palomino </t>
  </si>
  <si>
    <t xml:space="preserve">Collar dije ovalado </t>
  </si>
  <si>
    <t>Thais Kelita  Torpoco Palomino/900703127/72968623/shalom(la Oroya)</t>
  </si>
  <si>
    <t>SSS@SSS.COM</t>
  </si>
  <si>
    <t>XX</t>
  </si>
  <si>
    <t>SI</t>
  </si>
  <si>
    <t>NO</t>
  </si>
  <si>
    <t xml:space="preserve">PEDIDO DE DIJES CIRCULARES 
</t>
  </si>
  <si>
    <t>calderonmilagros20@gmail.com</t>
  </si>
  <si>
    <t xml:space="preserve">Milagros Andrea Calderón Odiaga </t>
  </si>
  <si>
    <t>Collar con dije silueta 179 soles</t>
  </si>
  <si>
    <t>Milagros Andrea Calderón Odiaga, 973385960, DNI: 70540786, Agencia de Shalom: Uceda Meza (Trujillo)</t>
  </si>
  <si>
    <t>mariagraciastereo1@gmail.com</t>
  </si>
  <si>
    <t xml:space="preserve">María Gracia Córdova Ampuero </t>
  </si>
  <si>
    <t xml:space="preserve">1 collar </t>
  </si>
  <si>
    <t xml:space="preserve">Si, el nombre grabado atrás </t>
  </si>
  <si>
    <t>No es en moto</t>
  </si>
  <si>
    <t xml:space="preserve">María Gracia Córdova Ampuero Dni: 71033441 Shalom ilo agencia Pacocha </t>
  </si>
  <si>
    <t xml:space="preserve">Para mi novio </t>
  </si>
  <si>
    <t xml:space="preserve">Me gustaría ver el diseño antes q lo graben </t>
  </si>
  <si>
    <t>crodrigueznunezdelprado@gmail.com</t>
  </si>
  <si>
    <t>Cristian Rodriguez</t>
  </si>
  <si>
    <t>Dije</t>
  </si>
  <si>
    <t>CLAY</t>
  </si>
  <si>
    <t>30/12/2025</t>
  </si>
  <si>
    <t>Av Rafael Escardo 620 - Dpto 1407 San Miguel / Cristian Rodriguez / 914665571</t>
  </si>
  <si>
    <t>patriciaregalado94@gmail.com</t>
  </si>
  <si>
    <t xml:space="preserve">Patricia regalado salas </t>
  </si>
  <si>
    <t>Sí ( Lucas)</t>
  </si>
  <si>
    <t xml:space="preserve">Patricia regalado salas , 961220342, DNI( 72669826), agencia olva de huacho </t>
  </si>
  <si>
    <t xml:space="preserve">Notificar cuando el pedido esté listo y en el lugar de recogo </t>
  </si>
  <si>
    <t>Denisse</t>
  </si>
  <si>
    <t>ftrujillosoria@gmail.com</t>
  </si>
  <si>
    <t xml:space="preserve">Fabiola Trujillo Soria </t>
  </si>
  <si>
    <t xml:space="preserve">Pulsera negra con dije circular de acero </t>
  </si>
  <si>
    <t>dqthais5@gmail.com</t>
  </si>
  <si>
    <t>Diana Quiroz Thais</t>
  </si>
  <si>
    <t>Mm</t>
  </si>
  <si>
    <t xml:space="preserve">Collar con dije silueta de cabeza </t>
  </si>
  <si>
    <t>Psje. Burgos 155, Dpto. 303, Santiago de Surco, Lima, Lima, Peru</t>
  </si>
  <si>
    <t>Ni</t>
  </si>
  <si>
    <t>Envío gratis, pedido por la web</t>
  </si>
  <si>
    <t>inaocando@gmail.com</t>
  </si>
  <si>
    <t>Mariana Andreina Ocando</t>
  </si>
  <si>
    <t>51 963 978 192</t>
  </si>
  <si>
    <t>Dije de Huella para collar</t>
  </si>
  <si>
    <t>Benny</t>
  </si>
  <si>
    <t>Av. Aviación 218, Barrio Particular., Pariqas, Talara, Piura, Peru</t>
  </si>
  <si>
    <t>Viene con aretes salchicha</t>
  </si>
  <si>
    <t>puntozxd1@gmail.com</t>
  </si>
  <si>
    <t xml:space="preserve">ANDDY NEFF BRAVO SALAZAR </t>
  </si>
  <si>
    <t>01 un collar con dije silueta de cabeza</t>
  </si>
  <si>
    <t>Anddy neff bravo Salazar, 930917813,  jirón Apurímac 224</t>
  </si>
  <si>
    <t xml:space="preserve">Puntualidad el día de la entrega por favor y que se envíe lo que se quedó por Whatsapp </t>
  </si>
  <si>
    <t>S</t>
  </si>
  <si>
    <t>Aretes salchicha</t>
  </si>
  <si>
    <t>N</t>
  </si>
  <si>
    <t>cclljert@gmail.com</t>
  </si>
  <si>
    <t xml:space="preserve">Claudia Cecilia López Linares </t>
  </si>
  <si>
    <t>P06 Pulsera con hilo negro dije oval s/149</t>
  </si>
  <si>
    <t xml:space="preserve">Oliver </t>
  </si>
  <si>
    <t>Pulsera de acero</t>
  </si>
  <si>
    <t>cesar.galvez.eus@gmail.com</t>
  </si>
  <si>
    <t>César Andrés Gálvez Vásquez</t>
  </si>
  <si>
    <t>937 827 748</t>
  </si>
  <si>
    <t>Collar modelo cabecita</t>
  </si>
  <si>
    <t>Ela</t>
  </si>
  <si>
    <t>28/03/2018</t>
  </si>
  <si>
    <t>CÉSAR ANDRÉS GÁLVEZ CÁSQUEZ - 937827748 - 75425719 - AGENCIA SHALOM CHINCHAYSUYO ZÁRATE</t>
  </si>
  <si>
    <t>jonathan@outlook.com.pe</t>
  </si>
  <si>
    <t xml:space="preserve">Daniel de la Cruz Guivin </t>
  </si>
  <si>
    <t>Av. Tomas Marsano 368 - Surquillo (torre A departamento 606)</t>
  </si>
  <si>
    <t xml:space="preserve">Kriss García Lazaro DNI 45730054 </t>
  </si>
  <si>
    <t>jhovisusuri@gmail.com</t>
  </si>
  <si>
    <t xml:space="preserve">Jhovana Vilcherrez Panta </t>
  </si>
  <si>
    <t>Rayfu</t>
  </si>
  <si>
    <t>Jhovana Fiorella Vilcherrez Panta 926 438 148 dni 48094948</t>
  </si>
  <si>
    <t>Debora Elizabeth Vilcherrez Panta</t>
  </si>
  <si>
    <t>meriblue4066@gmail.com</t>
  </si>
  <si>
    <t xml:space="preserve">Jael Torres Llamo </t>
  </si>
  <si>
    <t>Un collar acero dorado y una pulsera. 2 pedidos</t>
  </si>
  <si>
    <t>Si, grabar su nombre, Toby</t>
  </si>
  <si>
    <t>Sector 3 grupo 17 manzana O lote 24. Jael Torres 958655619</t>
  </si>
  <si>
    <t xml:space="preserve">La cadena es dorada y la pulsera plateada color de hilo negro. Y el nombre de mi perrito es Toby y quisiera que vaya escrito en la cadena y en la pulsera. Gracias </t>
  </si>
  <si>
    <t>roxsumerente@gmail.com</t>
  </si>
  <si>
    <t xml:space="preserve">Roxana Sumerente </t>
  </si>
  <si>
    <t>Roxana Sumerente Velasquez cel 977244378 DNI 29725872 AGENCIA TICA TICA - CUSCO</t>
  </si>
  <si>
    <t>TIENE QUE IR SU NOMBRE   RICK</t>
  </si>
  <si>
    <t>ivan.cribilleros@outlook.com</t>
  </si>
  <si>
    <t xml:space="preserve">Iván Cribilleros Barrenechea </t>
  </si>
  <si>
    <t>pulsera Westie. Con grabado E&amp;L. Tamaño de la pulsera aprox en 16cm</t>
  </si>
  <si>
    <t>E&amp;L</t>
  </si>
  <si>
    <t xml:space="preserve">No tiene grabado atrás </t>
  </si>
  <si>
    <t xml:space="preserve">Ca. Roentgen 213 Dpto. 701, Urb. La Calera, Surquillo </t>
  </si>
  <si>
    <t>Evelyn Paredes</t>
  </si>
  <si>
    <t xml:space="preserve">Lo necesito para mañana por la tarde entre 5 o 6 PM ya que salgo de viaje. Gracias </t>
  </si>
  <si>
    <t>sa</t>
  </si>
  <si>
    <t>dije</t>
  </si>
  <si>
    <t>maurett.27@gmail.com</t>
  </si>
  <si>
    <t xml:space="preserve">Sonaly Maurett Sifuentes Quiñones </t>
  </si>
  <si>
    <t>Brownie</t>
  </si>
  <si>
    <t xml:space="preserve">No tiene </t>
  </si>
  <si>
    <t>No es moto</t>
  </si>
  <si>
    <t>Sonaly Maurett Sifuentes Quiñones, Cel. 997869024, DNI N°47863727, agencias Huaraz- Ancash</t>
  </si>
  <si>
    <t xml:space="preserve">Hellen </t>
  </si>
  <si>
    <t xml:space="preserve">Muchas gracias </t>
  </si>
  <si>
    <t>hildamonicaluna@gmail.com</t>
  </si>
  <si>
    <t xml:space="preserve">Mónica Luna </t>
  </si>
  <si>
    <t xml:space="preserve">Pulsera huella </t>
  </si>
  <si>
    <t>Avenida Uruguay 344 interior 106 cercado de Lima celular 947292985</t>
  </si>
  <si>
    <t xml:space="preserve">El nombre que irá grabado es Martincito </t>
  </si>
  <si>
    <t>Linda</t>
  </si>
  <si>
    <t>jeremymarzano2019@gmail.com</t>
  </si>
  <si>
    <t xml:space="preserve">Jeremy Miyagui Marzano Trejo </t>
  </si>
  <si>
    <t>Pulsera Huella  s/69</t>
  </si>
  <si>
    <t xml:space="preserve">Jeremy Miyagui Marzano Trejo, 947035549, 73761743, Shalom Barranca </t>
  </si>
  <si>
    <t xml:space="preserve">Por el momento todo bien </t>
  </si>
  <si>
    <t>Pulsera Huella s/69</t>
  </si>
  <si>
    <t xml:space="preserve">Todo bien </t>
  </si>
  <si>
    <t>nmordez@gmail.com</t>
  </si>
  <si>
    <t xml:space="preserve">Niurka Moreno </t>
  </si>
  <si>
    <t xml:space="preserve">Si su carita </t>
  </si>
  <si>
    <t>Calle cesáreo chacaltana 130 Miraflores / 995280757</t>
  </si>
  <si>
    <t>Sorteo pipos</t>
  </si>
  <si>
    <t>kattiazegarrac@gmail.com</t>
  </si>
  <si>
    <t xml:space="preserve">Kattia Margot Zegarra Corimaya </t>
  </si>
  <si>
    <t>Collar dije corazón y pulsera con cadena dije corazón 2 cm</t>
  </si>
  <si>
    <t>Si - Koby</t>
  </si>
  <si>
    <t>Edgard Edu Zegarra Corimaya. CEL: 989 415 687. DNI: 72605790. Agencia Shalom: Av Lima 406 Alto Selva Alegre</t>
  </si>
  <si>
    <t xml:space="preserve">Mi hermano </t>
  </si>
  <si>
    <t xml:space="preserve">El envío es a nombre de mi hermano. Confío en la estética para el recuerdo de mi perrito </t>
  </si>
  <si>
    <t>juliabacacardenas@gmail.com</t>
  </si>
  <si>
    <t xml:space="preserve">Julia Baca Cárdenas </t>
  </si>
  <si>
    <t xml:space="preserve">El nombre de mi perro "Yugo" y su foto </t>
  </si>
  <si>
    <t>Asociación villa Angelita MZ B Lt 5 pasaje José Gálvez Santa  Clara - Ate mi nombre es Julia Baca Cárdenas mi número de teléfono es 962210754</t>
  </si>
  <si>
    <t xml:space="preserve">Mi pedido cuando estará llegando? </t>
  </si>
  <si>
    <t>x@gmail.com</t>
  </si>
  <si>
    <t>Kattia Margot Zegarra Corimaya</t>
  </si>
  <si>
    <t>P08 Pulsera con cadena s/169, Pulsera con cadena forma de corazón, 2cm</t>
  </si>
  <si>
    <t>xxx</t>
  </si>
  <si>
    <t>El envío es a nombre de mi hermano. Confío en la estética para el recuerdo de mi perrito</t>
  </si>
  <si>
    <t>Rosabel</t>
  </si>
  <si>
    <t>00</t>
  </si>
  <si>
    <t>dijes 2cm acero plateado</t>
  </si>
  <si>
    <t xml:space="preserve">dijes dorados 06 </t>
  </si>
  <si>
    <t>andrea.f.lluen@gmail.com</t>
  </si>
  <si>
    <t>Andrea Frias Lluen</t>
  </si>
  <si>
    <t>Collar de Acero Plateado-dije circular con rostro de mascotita, cadena para dama.</t>
  </si>
  <si>
    <t>Por favor que esté bien seguro el dije en la cadena para que no se caiga. Gracias.</t>
  </si>
  <si>
    <t>C</t>
  </si>
  <si>
    <t>jennchico@gmail.com</t>
  </si>
  <si>
    <t>Jennifer  Chicoski</t>
  </si>
  <si>
    <t xml:space="preserve">01 pulsera con 3 peludos s/209 </t>
  </si>
  <si>
    <t>SÍ, las fotos</t>
  </si>
  <si>
    <t xml:space="preserve">Calle José De la Torre Ugarte 107, Depo 301 Miraflores. John y Jennifer Chicoski </t>
  </si>
  <si>
    <t>Embajada de EEUU</t>
  </si>
  <si>
    <t xml:space="preserve">Para mi, Una </t>
  </si>
  <si>
    <t>La mascotita está contigo  🐾🎉, La mascotita ya está en el arcoiris 🌈🙏</t>
  </si>
  <si>
    <t>Las tres fotos de perritos ya envié de WhatsApp a Linda</t>
  </si>
  <si>
    <t>Erika Gamarra serna</t>
  </si>
  <si>
    <t>Foto del perrito</t>
  </si>
  <si>
    <t xml:space="preserve">Erika Gamarra Serna /994351278/ 72560263/ agencia Shalom huacho ubicado en Av Mercedes Indacochea </t>
  </si>
  <si>
    <t xml:space="preserve">Familia </t>
  </si>
  <si>
    <t xml:space="preserve">Ambas pulseras en color negro la de la imagen es para hombre </t>
  </si>
  <si>
    <t>xxxx@gmail.com</t>
  </si>
  <si>
    <t>Pulsera DOGMOM color negro</t>
  </si>
  <si>
    <t>HUACHO</t>
  </si>
  <si>
    <t>Ambas pulseras en color negro la de la imagen es para hombre</t>
  </si>
  <si>
    <t>grim_125@hotmail.com</t>
  </si>
  <si>
    <t xml:space="preserve">Carlos Cesar Santiago sapaico </t>
  </si>
  <si>
    <t>La foto que envie de la mascota</t>
  </si>
  <si>
    <t>Solo quiero una fecha (17.05.2025) y debajo su nombre de la mascota (Mango) si se pudiera dibujar una frutita en forma de mango estaría genial</t>
  </si>
  <si>
    <t>Vanesa espinosa oliva Cell: 983 279 049 DNI: 47068834 Agencia shalom: yurimahuas</t>
  </si>
  <si>
    <t>Enamorada</t>
  </si>
  <si>
    <t>Avisarme como queda el pedido antes del envio</t>
  </si>
  <si>
    <t>enjoyabackupwsp@gmail.com</t>
  </si>
  <si>
    <t>Jennifer Chicoski</t>
  </si>
  <si>
    <t>01 pulsera con 5 peludos s/249</t>
  </si>
  <si>
    <t>Calle José De la Torre Ugarte 107, Depo 301, Miraflores</t>
  </si>
  <si>
    <t>Cliente</t>
  </si>
  <si>
    <t>limpieza dije</t>
  </si>
  <si>
    <t>rosa.kameko.soria@gmail.com</t>
  </si>
  <si>
    <t>Rosa Amelia Kameko Soria</t>
  </si>
  <si>
    <t>Si - “Seth”</t>
  </si>
  <si>
    <t xml:space="preserve">Linos 187 Urb. Recaudadores - Salamanca Ate </t>
  </si>
  <si>
    <t>Si puede adicionar una tarjeta que diga “Para que Seth también vaya con usted, señito Betty”</t>
  </si>
  <si>
    <t>mily_aqp@hotmail.com</t>
  </si>
  <si>
    <t>MILAGROS YOLANDA CHOQUE BERROCAL</t>
  </si>
  <si>
    <t>Collar de Plata modelo Corazón grabado ambos lados</t>
  </si>
  <si>
    <t>Pancita (es la gatita)</t>
  </si>
  <si>
    <t>Yayito (es el perrito)</t>
  </si>
  <si>
    <t>MILAGROS YOLANDA CHOQUE BERROCAL DNI 29630758 AGENCIA SHALOM LA TOMILLA DISTRITO CAYMA AREQUIPA AREQUIPA</t>
  </si>
  <si>
    <t>PARA MI HERMANITA ROSITA!! POR SU CUMPLEAÑOS</t>
  </si>
  <si>
    <t xml:space="preserve">si pudieran por favor ponerle una tarjetita: desde el cielo!!! tus hijitos: Pacis y Yaito </t>
  </si>
  <si>
    <t>nathalyrr09@gmail.com</t>
  </si>
  <si>
    <t>Nathaly Reforme Rojas</t>
  </si>
  <si>
    <t>29 años</t>
  </si>
  <si>
    <t>Llavero en acero - S/89.00</t>
  </si>
  <si>
    <t>Cooper, en la parte de arriba / NC♥ - en la parte de abajo o del costado</t>
  </si>
  <si>
    <t>Calle Domingo Elias 148 - Miraflores / Cooperativa La Rehabilitadora</t>
  </si>
  <si>
    <t xml:space="preserve">Christian Miranda / Pero yo lo voy a recibir para entregarle </t>
  </si>
  <si>
    <t xml:space="preserve">Que sea en un empaque de regalo por favor, y en ese empaque no tenga nada referente al pedido, ni dirección ni nada para poder entregarle así. </t>
  </si>
  <si>
    <t>edgarsilvayzaguirre@gmail.com</t>
  </si>
  <si>
    <t>Edgar Silva</t>
  </si>
  <si>
    <t>Pulsera con cadena con dos dijes</t>
  </si>
  <si>
    <t>Guiarse de las fotos que envié por wap es Sasha y Athena</t>
  </si>
  <si>
    <t xml:space="preserve">Edgar Silva Yzaguirre / 967641555 / 43869019 / Shalom Av. Principal </t>
  </si>
  <si>
    <t>Es un regalo</t>
  </si>
  <si>
    <t>Que pueda salir claro la impresión del rostro</t>
  </si>
  <si>
    <t>elizabeth2052@gmail.com</t>
  </si>
  <si>
    <t xml:space="preserve">Verónica Sevillano </t>
  </si>
  <si>
    <t>2 dijes</t>
  </si>
  <si>
    <t>Dije 2 cm por ambos lados</t>
  </si>
  <si>
    <t xml:space="preserve">Ambos lados </t>
  </si>
  <si>
    <t>Ambos lados</t>
  </si>
  <si>
    <t>Av. Sergio Bernales 585 dpto 502 - surquillo</t>
  </si>
  <si>
    <t>Verónica Sevillano, 958013520</t>
  </si>
  <si>
    <t>Imagen por ambos lados</t>
  </si>
  <si>
    <t>charo091272600@hotmail.com</t>
  </si>
  <si>
    <t xml:space="preserve">Rosario Vásquez Rojas </t>
  </si>
  <si>
    <t xml:space="preserve">Pulsera plata modelo tejida Huellita </t>
  </si>
  <si>
    <t>Mía</t>
  </si>
  <si>
    <t xml:space="preserve">La Dirección depende de la fecha de entrega </t>
  </si>
  <si>
    <t xml:space="preserve">No he marcado x éste servicio </t>
  </si>
  <si>
    <t xml:space="preserve">La coordinación para el envío y poder detallar la dirección en la que me encontraré </t>
  </si>
  <si>
    <t>isabelc9510@gmail.com</t>
  </si>
  <si>
    <t>Maria Isabel Chocaca Ayala</t>
  </si>
  <si>
    <t>Collar dije corazón s/169</t>
  </si>
  <si>
    <t>Samantha. Siempre en mi corazón. 12.03.26</t>
  </si>
  <si>
    <t xml:space="preserve">. </t>
  </si>
  <si>
    <t>Maria Isabel Chocaca Ayala, 932023799, 74027926, Agencia Talara Pariñas</t>
  </si>
  <si>
    <t>Al costado de su nombre que vaya una huellita</t>
  </si>
  <si>
    <t>pizarronorita03@gmail.com</t>
  </si>
  <si>
    <t xml:space="preserve">Nora ismenia Pizarro zeña </t>
  </si>
  <si>
    <t xml:space="preserve">Cadena con dije en acero quirúrgico </t>
  </si>
  <si>
    <t xml:space="preserve">Si el nombre Pequeña </t>
  </si>
  <si>
    <t xml:space="preserve">No háganlo hermoso </t>
  </si>
  <si>
    <t xml:space="preserve">Nora ismenia Pizarro zeña / 901248360/ 48879645/ chimbote - Gálvez </t>
  </si>
  <si>
    <t xml:space="preserve">Hermana </t>
  </si>
  <si>
    <t>Háganlo lindo</t>
  </si>
  <si>
    <t>yrene.mode@icloud.com</t>
  </si>
  <si>
    <t>Yrene Montaño Delgado</t>
  </si>
  <si>
    <t xml:space="preserve">Pulsera color beige con huellitas </t>
  </si>
  <si>
    <t>Jhony Richard Lara Zamora 993014178 DNI 16727740</t>
  </si>
  <si>
    <t>Agencia Shalom de Urb La Perla Trujillo</t>
  </si>
  <si>
    <t>mtvcamacho@gmail.com</t>
  </si>
  <si>
    <t>María Teresa Villavicencio Mendoza</t>
  </si>
  <si>
    <t xml:space="preserve">Pulsera huellita </t>
  </si>
  <si>
    <t>Calle Pietro Vitorelli 247 Urb Santa Catalina La Victoria a nombre de María Teresa Villavicencio 955417868</t>
  </si>
  <si>
    <t xml:space="preserve">Lo necesito antes del Martes </t>
  </si>
  <si>
    <t>Paolo Marinelli</t>
  </si>
  <si>
    <t>Huellita mini</t>
  </si>
  <si>
    <t>Avenida aviación 3415, San Borja, Lima, Lima, Lima ,San Borja</t>
  </si>
  <si>
    <t>tiendada</t>
  </si>
  <si>
    <t>para el jueves</t>
  </si>
  <si>
    <t>SANDRA</t>
  </si>
  <si>
    <t xml:space="preserve">2 DIJES CORAZONES </t>
  </si>
  <si>
    <t>Aqui se ha hecho un ajuste en los codigos.</t>
  </si>
  <si>
    <t>Sandra Flores Herrera</t>
  </si>
  <si>
    <t>Reposición de una cliente que sus joyas se oxidaron, con ph.</t>
  </si>
  <si>
    <t>cellanos777@gmail.com</t>
  </si>
  <si>
    <t>Cecilia llanos flores</t>
  </si>
  <si>
    <t xml:space="preserve">Tipo pulsera de acero </t>
  </si>
  <si>
    <t>La cara de mis perritos</t>
  </si>
  <si>
    <t>Jirón Cristóbal de Peralta sur 231 surco , porteria</t>
  </si>
  <si>
    <t xml:space="preserve">Nada. Sé que quedará lindo </t>
  </si>
  <si>
    <t>María Ángela Delgado Salas</t>
  </si>
  <si>
    <t>Pulsera de plata modelo 3 cabecitas con cadena</t>
  </si>
  <si>
    <t>Sólo rostro</t>
  </si>
  <si>
    <t>María Ángela Delgado Salas - Cel. 959951500 - DNI. 29733761 - SHALOM MIRAFLORES AREQUIPA - AREQUIPA.</t>
  </si>
  <si>
    <t>mendozaa.lilian@gmail.com</t>
  </si>
  <si>
    <t>Lilian Mendoza</t>
  </si>
  <si>
    <t>collar con silueta dos cabecitas</t>
  </si>
  <si>
    <t>¡Feliz cumpleaños, mami! Te amamos 20.04.26</t>
  </si>
  <si>
    <t>No aplica</t>
  </si>
  <si>
    <t>familia</t>
  </si>
  <si>
    <t>Envié mi bosquejo a Linda</t>
  </si>
  <si>
    <t>Diana Geller</t>
  </si>
  <si>
    <t>Si una cruz</t>
  </si>
  <si>
    <t>Si palabra Fe</t>
  </si>
  <si>
    <t>Por confirmar</t>
  </si>
  <si>
    <t>Regalo amiga</t>
  </si>
  <si>
    <t>La talla de pulsera Sería de 16 a 18 cm</t>
  </si>
  <si>
    <t>joseantoniomunoz1816@gmail.com</t>
  </si>
  <si>
    <t xml:space="preserve">Jose Antonio Muñoz Ramírez </t>
  </si>
  <si>
    <t>Otro: Collar dije 2cm de acero dorado</t>
  </si>
  <si>
    <t>Nada mas</t>
  </si>
  <si>
    <t>mirthamendez.arq@gmail.com</t>
  </si>
  <si>
    <t>Mirtha Lucero Mendez Leaño</t>
  </si>
  <si>
    <t>Collar Sofìa</t>
  </si>
  <si>
    <t>Por recomendacion de otra persona, Recomendaciòn Sandra</t>
  </si>
  <si>
    <t>Para mi mamà</t>
  </si>
  <si>
    <t>Collar dije 2cm de acero dorado</t>
  </si>
  <si>
    <t>Argos</t>
  </si>
  <si>
    <t>Collar dije 2.5 cm de acero dorado</t>
  </si>
  <si>
    <t>Marianne , Ana Rosa, José Antonio</t>
  </si>
  <si>
    <t>Gladys</t>
  </si>
  <si>
    <t>Nombre Karla, colocar dos corazones al costado</t>
  </si>
  <si>
    <t>Lía</t>
  </si>
  <si>
    <t>neiynigth_rm@hotmail.com</t>
  </si>
  <si>
    <t xml:space="preserve">Neiynigth Leslith Rivera Morales </t>
  </si>
  <si>
    <t>Collar dije 2cm acero</t>
  </si>
  <si>
    <t>Grabado completo</t>
  </si>
  <si>
    <t>Servicio programado</t>
  </si>
  <si>
    <t>Mi hijita</t>
  </si>
  <si>
    <t>Ninguno</t>
  </si>
  <si>
    <t>dianna_b4@hotmail.com</t>
  </si>
  <si>
    <t>Diana Saavedra</t>
  </si>
  <si>
    <t>Pulsera San Benito acero niño</t>
  </si>
  <si>
    <t>paulabrycepatron@gmail.com</t>
  </si>
  <si>
    <t xml:space="preserve">Paula Bryce patrón </t>
  </si>
  <si>
    <t xml:space="preserve">P08 Pulsera con cadena </t>
  </si>
  <si>
    <t>San Borja Trinidad 471 dpt 102 , paula , 967139426</t>
  </si>
  <si>
    <t>marylune2401@gmail.com</t>
  </si>
  <si>
    <t xml:space="preserve">Zaida Delgado </t>
  </si>
  <si>
    <t>Ubo</t>
  </si>
  <si>
    <t>CUCHI</t>
  </si>
  <si>
    <t xml:space="preserve">Calle Begonias 415 piso 1 San Isidro </t>
  </si>
  <si>
    <t xml:space="preserve">Llamar al 913188919 </t>
  </si>
  <si>
    <t>gragenie@gmail.com</t>
  </si>
  <si>
    <t xml:space="preserve">Andrea Yrigoyen </t>
  </si>
  <si>
    <t xml:space="preserve">Huellas en forma de corazón </t>
  </si>
  <si>
    <t>No sé la huella?</t>
  </si>
  <si>
    <t>Now</t>
  </si>
  <si>
    <t>Recojo</t>
  </si>
  <si>
    <t xml:space="preserve">No marqué </t>
  </si>
  <si>
    <t>Nada</t>
  </si>
  <si>
    <t>marlenecolomaventas@gmail.com</t>
  </si>
  <si>
    <t>Marlene Coloma</t>
  </si>
  <si>
    <t>1 pulsera</t>
  </si>
  <si>
    <t>Pulsera negra con dije chihuahua</t>
  </si>
  <si>
    <t>Grabado “Sisi”</t>
  </si>
  <si>
    <t>Sobrina</t>
  </si>
  <si>
    <t xml:space="preserve">Gracias por su pronta atención </t>
  </si>
  <si>
    <t>xxxx</t>
  </si>
  <si>
    <t>san borja</t>
  </si>
  <si>
    <t>para mi hija</t>
  </si>
  <si>
    <t>mi hija</t>
  </si>
  <si>
    <t>Aretes argollas con Huellitas colgantes</t>
  </si>
  <si>
    <t>xx@xx.com</t>
  </si>
  <si>
    <t>colibri dijes</t>
  </si>
  <si>
    <t>gatos</t>
  </si>
  <si>
    <t>dijes mariposa  se365</t>
  </si>
  <si>
    <t>Aretes Huellitas</t>
  </si>
  <si>
    <t>92.hc.andrea@gmail.com</t>
  </si>
  <si>
    <t xml:space="preserve">Andrea </t>
  </si>
  <si>
    <t>Collar san Benito XX</t>
  </si>
  <si>
    <t>Whatsapp, Instagram, Facebook, Por recomendacion de otra persona</t>
  </si>
  <si>
    <t>m2585@hotmail.com</t>
  </si>
  <si>
    <t>Mariana Otiniano Rojas</t>
  </si>
  <si>
    <t>Dijes de acero</t>
  </si>
  <si>
    <t xml:space="preserve">Si, ambos dijes </t>
  </si>
  <si>
    <t>Whatsapp, Instagram, Por recomendacion de otra persona</t>
  </si>
  <si>
    <t xml:space="preserve">Un dije debe decir ROCINA </t>
  </si>
  <si>
    <t>dije de acero</t>
  </si>
  <si>
    <t xml:space="preserve"> ROSSEMARY</t>
  </si>
  <si>
    <t>dije de acero 2cm</t>
  </si>
  <si>
    <t>si , 4 nombres</t>
  </si>
  <si>
    <t>anaverogonzalesc@gmail.com</t>
  </si>
  <si>
    <t xml:space="preserve">Ana Gonzales </t>
  </si>
  <si>
    <t>Pulsera 3 cabecitas</t>
  </si>
  <si>
    <t>Av Javier prado este 3101 san Borja.puerta 1. Entre Javier prado y Rosa toro. Instituto nacional del niño san borja</t>
  </si>
  <si>
    <t xml:space="preserve">Cadenitas para persona gordita. </t>
  </si>
  <si>
    <t>anashelly.09.2006@gmail.com</t>
  </si>
  <si>
    <t xml:space="preserve">Anashelly Sánchez </t>
  </si>
  <si>
    <t>Collar acero, vendedora sandra</t>
  </si>
  <si>
    <t>Natividad Lloclla bautista, 972827197, 00209259, shalom pampa grande tumbes,</t>
  </si>
  <si>
    <t xml:space="preserve">Que esté bien envuelto </t>
  </si>
  <si>
    <t>pulsera silueta de cabeza con cadena</t>
  </si>
  <si>
    <t>pulsera con dije silueta con rostro de mascotita y cadena</t>
  </si>
  <si>
    <t>tatianasarba@gmail.com</t>
  </si>
  <si>
    <t xml:space="preserve">Karin Tatiana Sarmiento Barrientos </t>
  </si>
  <si>
    <t>Llavero en acero</t>
  </si>
  <si>
    <t>antonioarte94@gmail.com</t>
  </si>
  <si>
    <t xml:space="preserve">Gilmar Antonio Arias Telles </t>
  </si>
  <si>
    <t>Celia Gonazales</t>
  </si>
  <si>
    <t>feria rimac</t>
  </si>
  <si>
    <t>es de una persona</t>
  </si>
  <si>
    <t>Celia Gonzales</t>
  </si>
  <si>
    <t>En hilo color rojo y el dije de 1.5cm colgante</t>
  </si>
  <si>
    <t xml:space="preserve">Krizzia Cachay </t>
  </si>
  <si>
    <t>Si nombre Molly</t>
  </si>
  <si>
    <t>Danella Santa Cruz</t>
  </si>
  <si>
    <t>Collar corazón con dos caritas adelante</t>
  </si>
  <si>
    <t>si dos caritas</t>
  </si>
  <si>
    <t>Corazón con dos caritas de mascotas</t>
  </si>
  <si>
    <t>si, Maximus</t>
  </si>
  <si>
    <t>si, una huella</t>
  </si>
  <si>
    <t xml:space="preserve">cadena de 50cm </t>
  </si>
  <si>
    <t>Claudia Martinez</t>
  </si>
  <si>
    <t>si, Aaron</t>
  </si>
  <si>
    <t xml:space="preserve">Angela Campos Vivanco </t>
  </si>
  <si>
    <t xml:space="preserve">Collar corazón con 02 perritos con cadena </t>
  </si>
  <si>
    <t>feria Rimac</t>
  </si>
  <si>
    <t>Nombre</t>
  </si>
  <si>
    <t>Correo electrónico</t>
  </si>
  <si>
    <t>Número de teléfono</t>
  </si>
  <si>
    <t xml:space="preserve">¿Tiene grabado atrás?
Recuerda  que tiene un costo de s/15 de fecha o texto corto como nombre, si es un parrafo, lo que entre el dije el costo seria de s/35.  </t>
  </si>
  <si>
    <t xml:space="preserve">¿Cómo recogerás tu pedido? </t>
  </si>
  <si>
    <t>Red Social de Contacto*</t>
  </si>
  <si>
    <t>¿Cual es el nombre de quien lo atendió? *</t>
  </si>
  <si>
    <t>Coloca aquí cualquier observación sobre tu pedido</t>
  </si>
  <si>
    <t>Collar con dije de alas</t>
  </si>
  <si>
    <t>Recomendación de otra persona</t>
  </si>
  <si>
    <t>sobrina confirmacion</t>
  </si>
  <si>
    <t>para el 14 de nov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</si>
</sst>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02124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puestas de formulario 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85" displayName="Form_Responses" name="Form_Responses" id="1">
  <tableColumns count="19">
    <tableColumn name="Marca temporal" id="1"/>
    <tableColumn name="Dirección de correo electrónico" id="2"/>
    <tableColumn name="Nombre Completo" id="3"/>
    <tableColumn name="Edad" id="4"/>
    <tableColumn name="Número de teléfono de contacto" id="5"/>
    <tableColumn name="Cantidad" id="6"/>
    <tableColumn name="Pedido" id="7"/>
    <tableColumn name="¿Tiene Grabado adelante? _x000a_Recuerda  está incluido en tu pedido. " id="8"/>
    <tableColumn name="¿Tiene Grabado atrás? _x000a_Recuerda  que tiene un costo de s/15 de fecha o texto corto como nombre, si es un parrafo, lo que entre el dije el costo seria de s/35.  " id="9"/>
    <tableColumn name="¿Cómo recogeras tu pedido?" id="10"/>
    <tableColumn name="Si marcó Enviar Moto, por favor indicar lo siguiente: DIRECCION - Nombre y Celular de Persona que recibe.  (Es un servicio programado por lo que el horario de entrega es de 1 a 6pm) " id="11"/>
    <tableColumn name="Si marcó Enviar por Shalom, por favor indicar lo siguiente de la persona que recibe: Nombre Completo, Celular, DNI, Agencia Shalom a entregar. (El tiempo de entrega es entre 2 a 3 dias habiles) " id="12"/>
    <tableColumn name="Red Social de Contacto" id="13"/>
    <tableColumn name="¿Para quien es el pedido?" id="14"/>
    <tableColumn name="Si es un recuerdo de una mascotita, coméntanos " id="15"/>
    <tableColumn name="Colocar aqui cualquier observación sobre tu pedido" id="16"/>
    <tableColumn name="Columna 16" id="17"/>
    <tableColumn name="¿Cual es el nombre de quien lo atendió? " id="18"/>
    <tableColumn name="Columna 18" id="19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ref="A1:N2" displayName="Form_Responses2" name="Form_Responses2" id="2">
  <tableColumns count="14">
    <tableColumn name="Marca temporal" id="1"/>
    <tableColumn name="Nombre" id="2"/>
    <tableColumn name="Correo electrónico" id="3"/>
    <tableColumn name="Edad" id="4"/>
    <tableColumn name="Número de teléfono" id="5"/>
    <tableColumn name="Pedido" id="6"/>
    <tableColumn name="¿Tiene grabado atrás?_x000a_Recuerda  que tiene un costo de s/15 de fecha o texto corto como nombre, si es un parrafo, lo que entre el dije el costo seria de s/35.  " id="7"/>
    <tableColumn name="¿Cómo recogerás tu pedido? " id="8"/>
    <tableColumn name="Si marcó Enviar Moto, por favor indicar lo siguiente: DIRECCION - Nombre y Celular de Persona que recibe.  (Es un servicio programado por lo que el horario de entrega es de 1 a 6pm) " id="9"/>
    <tableColumn name="Si marcó Enviar por Shalom, por favor indicar lo siguiente de la persona que recibe: Nombre Completo, Celular, DNI, Agencia Shalom a entregar. (El tiempo de entrega es entre 2 a 3 dias habiles) " id="10"/>
    <tableColumn name="Red Social de Contacto*" id="11"/>
    <tableColumn name="¿Para quien es el pedido?" id="12"/>
    <tableColumn name="¿Cual es el nombre de quien lo atendió? *" id="13"/>
    <tableColumn name="Coloca aquí cualquier observación sobre tu pedido" id="14"/>
  </tableColumns>
  <tableStyleInfo name="Respuestas de formulario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88"/>
    <col customWidth="1" min="3" max="4" width="18.88"/>
    <col customWidth="1" min="5" max="5" width="28.75"/>
    <col customWidth="1" min="6" max="6" width="18.88"/>
    <col customWidth="1" min="7" max="7" width="29.63"/>
    <col customWidth="1" min="8" max="8" width="32.38"/>
    <col customWidth="1" min="9" max="9" width="37.63"/>
    <col customWidth="1" min="10" max="10" width="26.0"/>
    <col customWidth="1" min="11" max="12" width="37.63"/>
    <col customWidth="1" min="13" max="13" width="22.25"/>
    <col customWidth="1" min="14" max="14" width="23.75"/>
    <col customWidth="1" min="15" max="16" width="37.63"/>
    <col customWidth="1" min="17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</row>
    <row r="2" ht="22.5" customHeight="1">
      <c r="A2" s="3">
        <v>45934.790560532405</v>
      </c>
      <c r="B2" s="4" t="s">
        <v>19</v>
      </c>
      <c r="C2" s="4" t="s">
        <v>20</v>
      </c>
      <c r="D2" s="4" t="s">
        <v>21</v>
      </c>
      <c r="E2" s="4" t="s">
        <v>22</v>
      </c>
      <c r="F2" s="4">
        <v>1.0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25</v>
      </c>
      <c r="L2" s="4" t="s">
        <v>25</v>
      </c>
      <c r="M2" s="4" t="s">
        <v>25</v>
      </c>
      <c r="N2" s="4" t="s">
        <v>25</v>
      </c>
      <c r="O2" s="4" t="s">
        <v>27</v>
      </c>
      <c r="P2" s="4" t="s">
        <v>28</v>
      </c>
      <c r="Q2" s="5"/>
      <c r="R2" s="4" t="s">
        <v>20</v>
      </c>
      <c r="S2" s="5"/>
    </row>
    <row r="3" ht="22.5" customHeight="1">
      <c r="A3" s="6">
        <v>45937.73829407408</v>
      </c>
      <c r="B3" s="7" t="s">
        <v>29</v>
      </c>
      <c r="C3" s="7" t="s">
        <v>30</v>
      </c>
      <c r="D3" s="7">
        <v>65.0</v>
      </c>
      <c r="E3" s="7">
        <v>9.96105445E8</v>
      </c>
      <c r="F3" s="7">
        <v>1.0</v>
      </c>
      <c r="G3" s="7" t="s">
        <v>31</v>
      </c>
      <c r="H3" s="7" t="s">
        <v>32</v>
      </c>
      <c r="I3" s="7" t="s">
        <v>32</v>
      </c>
      <c r="J3" s="7" t="s">
        <v>33</v>
      </c>
      <c r="K3" s="7" t="s">
        <v>34</v>
      </c>
      <c r="L3" s="7" t="s">
        <v>35</v>
      </c>
      <c r="M3" s="7" t="s">
        <v>36</v>
      </c>
      <c r="N3" s="7" t="s">
        <v>37</v>
      </c>
      <c r="O3" s="7" t="s">
        <v>38</v>
      </c>
      <c r="P3" s="7" t="s">
        <v>39</v>
      </c>
      <c r="Q3" s="8"/>
      <c r="R3" s="7" t="s">
        <v>40</v>
      </c>
      <c r="S3" s="8"/>
    </row>
    <row r="4" ht="22.5" customHeight="1">
      <c r="A4" s="6">
        <v>45938.6726743287</v>
      </c>
      <c r="B4" s="7" t="s">
        <v>41</v>
      </c>
      <c r="C4" s="7" t="s">
        <v>42</v>
      </c>
      <c r="D4" s="7">
        <v>42.0</v>
      </c>
      <c r="E4" s="7">
        <v>9.93101223E8</v>
      </c>
      <c r="F4" s="7">
        <v>1.0</v>
      </c>
      <c r="G4" s="7" t="s">
        <v>43</v>
      </c>
      <c r="H4" s="7" t="s">
        <v>44</v>
      </c>
      <c r="I4" s="7" t="s">
        <v>44</v>
      </c>
      <c r="J4" s="7" t="s">
        <v>26</v>
      </c>
      <c r="K4" s="7" t="s">
        <v>45</v>
      </c>
      <c r="L4" s="7" t="s">
        <v>46</v>
      </c>
      <c r="M4" s="7" t="s">
        <v>47</v>
      </c>
      <c r="N4" s="7" t="s">
        <v>37</v>
      </c>
      <c r="O4" s="7" t="s">
        <v>27</v>
      </c>
      <c r="P4" s="7" t="s">
        <v>46</v>
      </c>
      <c r="Q4" s="8"/>
      <c r="R4" s="7" t="s">
        <v>20</v>
      </c>
      <c r="S4" s="8"/>
    </row>
    <row r="5" ht="22.5" customHeight="1">
      <c r="A5" s="6">
        <v>45939.64989482639</v>
      </c>
      <c r="B5" s="7" t="s">
        <v>48</v>
      </c>
      <c r="C5" s="7" t="s">
        <v>49</v>
      </c>
      <c r="D5" s="7">
        <v>30.0</v>
      </c>
      <c r="E5" s="7">
        <v>9.20673596E8</v>
      </c>
      <c r="F5" s="7">
        <v>1.0</v>
      </c>
      <c r="G5" s="7" t="s">
        <v>50</v>
      </c>
      <c r="H5" s="7" t="s">
        <v>51</v>
      </c>
      <c r="I5" s="7" t="s">
        <v>52</v>
      </c>
      <c r="J5" s="7" t="s">
        <v>33</v>
      </c>
      <c r="K5" s="7" t="s">
        <v>53</v>
      </c>
      <c r="L5" s="7" t="s">
        <v>52</v>
      </c>
      <c r="M5" s="7" t="s">
        <v>54</v>
      </c>
      <c r="N5" s="7" t="s">
        <v>55</v>
      </c>
      <c r="O5" s="7" t="s">
        <v>38</v>
      </c>
      <c r="P5" s="7" t="s">
        <v>56</v>
      </c>
      <c r="Q5" s="8"/>
      <c r="R5" s="7" t="s">
        <v>40</v>
      </c>
      <c r="S5" s="8"/>
    </row>
    <row r="6" ht="22.5" customHeight="1">
      <c r="A6" s="6">
        <v>45941.52690011574</v>
      </c>
      <c r="B6" s="7" t="s">
        <v>57</v>
      </c>
      <c r="C6" s="7" t="s">
        <v>58</v>
      </c>
      <c r="D6" s="7">
        <v>28.0</v>
      </c>
      <c r="E6" s="7">
        <v>9.74606698E8</v>
      </c>
      <c r="F6" s="7">
        <v>1.0</v>
      </c>
      <c r="G6" s="7" t="s">
        <v>59</v>
      </c>
      <c r="H6" s="7" t="s">
        <v>60</v>
      </c>
      <c r="I6" s="7" t="s">
        <v>44</v>
      </c>
      <c r="J6" s="7" t="s">
        <v>61</v>
      </c>
      <c r="K6" s="7" t="s">
        <v>44</v>
      </c>
      <c r="L6" s="7" t="s">
        <v>62</v>
      </c>
      <c r="M6" s="7" t="s">
        <v>36</v>
      </c>
      <c r="N6" s="7" t="s">
        <v>37</v>
      </c>
      <c r="O6" s="7" t="s">
        <v>27</v>
      </c>
      <c r="P6" s="7" t="s">
        <v>44</v>
      </c>
      <c r="R6" s="7" t="s">
        <v>20</v>
      </c>
      <c r="S6" s="8"/>
    </row>
    <row r="7" ht="22.5" customHeight="1">
      <c r="A7" s="6">
        <v>45943.38588428241</v>
      </c>
      <c r="B7" s="7" t="s">
        <v>63</v>
      </c>
      <c r="C7" s="7" t="s">
        <v>64</v>
      </c>
      <c r="D7" s="7">
        <v>30.0</v>
      </c>
      <c r="E7" s="7">
        <v>9.97861203E8</v>
      </c>
      <c r="F7" s="7">
        <v>1.0</v>
      </c>
      <c r="G7" s="7" t="s">
        <v>65</v>
      </c>
      <c r="H7" s="7" t="s">
        <v>66</v>
      </c>
      <c r="I7" s="7" t="s">
        <v>44</v>
      </c>
      <c r="J7" s="7" t="s">
        <v>26</v>
      </c>
      <c r="K7" s="7" t="s">
        <v>67</v>
      </c>
      <c r="L7" s="7" t="s">
        <v>67</v>
      </c>
      <c r="M7" s="7" t="s">
        <v>68</v>
      </c>
      <c r="N7" s="7" t="s">
        <v>69</v>
      </c>
      <c r="O7" s="7" t="s">
        <v>38</v>
      </c>
      <c r="P7" s="7" t="s">
        <v>70</v>
      </c>
      <c r="R7" s="7" t="s">
        <v>20</v>
      </c>
      <c r="S7" s="8"/>
    </row>
    <row r="8" ht="22.5" customHeight="1">
      <c r="A8" s="6">
        <v>45943.38588428241</v>
      </c>
      <c r="B8" s="7" t="s">
        <v>63</v>
      </c>
      <c r="C8" s="7" t="s">
        <v>64</v>
      </c>
      <c r="D8" s="7">
        <v>30.0</v>
      </c>
      <c r="E8" s="7">
        <v>9.97861203E8</v>
      </c>
      <c r="F8" s="7">
        <v>1.0</v>
      </c>
      <c r="G8" s="7" t="s">
        <v>65</v>
      </c>
      <c r="H8" s="7" t="s">
        <v>66</v>
      </c>
      <c r="I8" s="7" t="s">
        <v>44</v>
      </c>
      <c r="J8" s="7" t="s">
        <v>26</v>
      </c>
      <c r="K8" s="7" t="s">
        <v>67</v>
      </c>
      <c r="L8" s="7" t="s">
        <v>67</v>
      </c>
      <c r="M8" s="7" t="s">
        <v>68</v>
      </c>
      <c r="N8" s="7" t="s">
        <v>69</v>
      </c>
      <c r="O8" s="7" t="s">
        <v>38</v>
      </c>
      <c r="P8" s="7" t="s">
        <v>71</v>
      </c>
      <c r="R8" s="7" t="s">
        <v>20</v>
      </c>
      <c r="S8" s="8"/>
    </row>
    <row r="9" ht="22.5" customHeight="1">
      <c r="A9" s="6">
        <v>45943.99572659722</v>
      </c>
      <c r="B9" s="7" t="s">
        <v>72</v>
      </c>
      <c r="C9" s="7" t="s">
        <v>20</v>
      </c>
      <c r="D9" s="7" t="s">
        <v>25</v>
      </c>
      <c r="E9" s="7" t="s">
        <v>25</v>
      </c>
      <c r="F9" s="7">
        <v>1.0</v>
      </c>
      <c r="G9" s="7" t="s">
        <v>73</v>
      </c>
      <c r="H9" s="7" t="s">
        <v>25</v>
      </c>
      <c r="I9" s="7" t="s">
        <v>25</v>
      </c>
      <c r="J9" s="7" t="s">
        <v>26</v>
      </c>
      <c r="K9" s="7" t="s">
        <v>25</v>
      </c>
      <c r="L9" s="7" t="s">
        <v>25</v>
      </c>
      <c r="M9" s="7" t="s">
        <v>36</v>
      </c>
      <c r="N9" s="7" t="s">
        <v>74</v>
      </c>
      <c r="O9" s="7" t="s">
        <v>38</v>
      </c>
      <c r="P9" s="7" t="s">
        <v>75</v>
      </c>
      <c r="R9" s="7" t="s">
        <v>20</v>
      </c>
      <c r="S9" s="8"/>
    </row>
    <row r="10" ht="22.5" customHeight="1">
      <c r="A10" s="6">
        <v>45945.97038153935</v>
      </c>
      <c r="B10" s="7" t="s">
        <v>19</v>
      </c>
      <c r="C10" s="7" t="s">
        <v>20</v>
      </c>
      <c r="D10" s="7" t="s">
        <v>46</v>
      </c>
      <c r="E10" s="7" t="s">
        <v>46</v>
      </c>
      <c r="F10" s="7">
        <v>1.0</v>
      </c>
      <c r="G10" s="7" t="s">
        <v>76</v>
      </c>
      <c r="H10" s="7" t="s">
        <v>46</v>
      </c>
      <c r="I10" s="7" t="s">
        <v>46</v>
      </c>
      <c r="J10" s="7" t="s">
        <v>26</v>
      </c>
      <c r="K10" s="7" t="s">
        <v>46</v>
      </c>
      <c r="L10" s="7" t="s">
        <v>46</v>
      </c>
      <c r="M10" s="7" t="s">
        <v>54</v>
      </c>
      <c r="N10" s="7" t="s">
        <v>77</v>
      </c>
      <c r="O10" s="7" t="s">
        <v>38</v>
      </c>
      <c r="P10" s="7" t="s">
        <v>78</v>
      </c>
      <c r="R10" s="7" t="s">
        <v>20</v>
      </c>
      <c r="S10" s="8"/>
    </row>
    <row r="11" ht="22.5" customHeight="1">
      <c r="A11" s="6">
        <v>45945.976883923606</v>
      </c>
      <c r="B11" s="7" t="s">
        <v>19</v>
      </c>
      <c r="C11" s="7" t="s">
        <v>20</v>
      </c>
      <c r="D11" s="7" t="s">
        <v>46</v>
      </c>
      <c r="E11" s="7" t="s">
        <v>46</v>
      </c>
      <c r="F11" s="7">
        <v>1.0</v>
      </c>
      <c r="G11" s="7" t="s">
        <v>79</v>
      </c>
      <c r="H11" s="7" t="s">
        <v>25</v>
      </c>
      <c r="I11" s="7" t="s">
        <v>25</v>
      </c>
      <c r="J11" s="7" t="s">
        <v>26</v>
      </c>
      <c r="K11" s="7" t="s">
        <v>25</v>
      </c>
      <c r="L11" s="7" t="s">
        <v>25</v>
      </c>
      <c r="M11" s="7" t="s">
        <v>54</v>
      </c>
      <c r="N11" s="7" t="s">
        <v>77</v>
      </c>
      <c r="O11" s="7" t="s">
        <v>38</v>
      </c>
      <c r="P11" s="7" t="s">
        <v>80</v>
      </c>
      <c r="R11" s="7" t="s">
        <v>20</v>
      </c>
      <c r="S11" s="8"/>
    </row>
    <row r="12" ht="22.5" customHeight="1">
      <c r="A12" s="6">
        <v>45947.60954799769</v>
      </c>
      <c r="B12" s="7" t="s">
        <v>19</v>
      </c>
      <c r="C12" s="7" t="s">
        <v>20</v>
      </c>
      <c r="D12" s="7" t="s">
        <v>25</v>
      </c>
      <c r="E12" s="7" t="s">
        <v>25</v>
      </c>
      <c r="F12" s="7">
        <v>1.0</v>
      </c>
      <c r="G12" s="7" t="s">
        <v>81</v>
      </c>
      <c r="H12" s="7" t="s">
        <v>46</v>
      </c>
      <c r="I12" s="7" t="s">
        <v>46</v>
      </c>
      <c r="J12" s="7" t="s">
        <v>26</v>
      </c>
      <c r="K12" s="7" t="s">
        <v>46</v>
      </c>
      <c r="L12" s="7" t="s">
        <v>46</v>
      </c>
      <c r="M12" s="7" t="s">
        <v>82</v>
      </c>
      <c r="N12" s="7" t="s">
        <v>83</v>
      </c>
      <c r="O12" s="7" t="s">
        <v>38</v>
      </c>
      <c r="P12" s="7" t="s">
        <v>28</v>
      </c>
      <c r="R12" s="7" t="s">
        <v>20</v>
      </c>
      <c r="S12" s="8"/>
    </row>
    <row r="13" ht="22.5" customHeight="1">
      <c r="A13" s="6">
        <v>45950.54256984954</v>
      </c>
      <c r="B13" s="7" t="s">
        <v>84</v>
      </c>
      <c r="C13" s="7" t="s">
        <v>85</v>
      </c>
      <c r="D13" s="7">
        <v>35.0</v>
      </c>
      <c r="E13" s="7">
        <v>9.44241485E8</v>
      </c>
      <c r="F13" s="7">
        <v>1.0</v>
      </c>
      <c r="G13" s="7" t="s">
        <v>86</v>
      </c>
      <c r="H13" s="7" t="s">
        <v>44</v>
      </c>
      <c r="I13" s="7" t="s">
        <v>44</v>
      </c>
      <c r="J13" s="7" t="s">
        <v>33</v>
      </c>
      <c r="K13" s="7" t="s">
        <v>87</v>
      </c>
      <c r="L13" s="7" t="s">
        <v>44</v>
      </c>
      <c r="M13" s="7" t="s">
        <v>54</v>
      </c>
      <c r="N13" s="7" t="s">
        <v>37</v>
      </c>
      <c r="O13" s="7" t="s">
        <v>38</v>
      </c>
      <c r="P13" s="7" t="s">
        <v>88</v>
      </c>
      <c r="R13" s="7" t="s">
        <v>20</v>
      </c>
      <c r="S13" s="8"/>
    </row>
    <row r="14" ht="22.5" customHeight="1">
      <c r="A14" s="6">
        <v>45953.808886643514</v>
      </c>
      <c r="B14" s="7" t="s">
        <v>89</v>
      </c>
      <c r="C14" s="7" t="s">
        <v>90</v>
      </c>
      <c r="D14" s="7">
        <v>28.0</v>
      </c>
      <c r="E14" s="7">
        <v>9.06471619E8</v>
      </c>
      <c r="F14" s="7">
        <v>1.0</v>
      </c>
      <c r="G14" s="7" t="s">
        <v>91</v>
      </c>
      <c r="H14" s="7" t="s">
        <v>92</v>
      </c>
      <c r="I14" s="7" t="s">
        <v>93</v>
      </c>
      <c r="J14" s="7" t="s">
        <v>26</v>
      </c>
      <c r="K14" s="7" t="s">
        <v>25</v>
      </c>
      <c r="L14" s="7" t="s">
        <v>25</v>
      </c>
      <c r="M14" s="7" t="s">
        <v>94</v>
      </c>
      <c r="N14" s="7" t="s">
        <v>37</v>
      </c>
      <c r="O14" s="7" t="s">
        <v>38</v>
      </c>
      <c r="P14" s="7" t="s">
        <v>95</v>
      </c>
      <c r="R14" s="7" t="s">
        <v>20</v>
      </c>
      <c r="S14" s="8"/>
    </row>
    <row r="15" ht="22.5" customHeight="1">
      <c r="A15" s="6">
        <v>45953.811969629634</v>
      </c>
      <c r="B15" s="7" t="s">
        <v>96</v>
      </c>
      <c r="C15" s="7" t="s">
        <v>97</v>
      </c>
      <c r="D15" s="7" t="s">
        <v>98</v>
      </c>
      <c r="E15" s="7">
        <v>9.82145271E8</v>
      </c>
      <c r="F15" s="7">
        <v>1.0</v>
      </c>
      <c r="G15" s="7" t="s">
        <v>99</v>
      </c>
      <c r="H15" s="7" t="s">
        <v>100</v>
      </c>
      <c r="I15" s="7" t="s">
        <v>101</v>
      </c>
      <c r="J15" s="7" t="s">
        <v>26</v>
      </c>
      <c r="K15" s="7" t="s">
        <v>25</v>
      </c>
      <c r="L15" s="7" t="s">
        <v>25</v>
      </c>
      <c r="M15" s="7" t="s">
        <v>94</v>
      </c>
      <c r="N15" s="7" t="s">
        <v>37</v>
      </c>
      <c r="O15" s="7" t="s">
        <v>38</v>
      </c>
      <c r="P15" s="7" t="s">
        <v>102</v>
      </c>
      <c r="R15" s="7" t="s">
        <v>20</v>
      </c>
      <c r="S15" s="8"/>
    </row>
    <row r="16" ht="22.5" customHeight="1">
      <c r="A16" s="6">
        <v>45953.81456627315</v>
      </c>
      <c r="B16" s="7" t="s">
        <v>103</v>
      </c>
      <c r="C16" s="7" t="s">
        <v>104</v>
      </c>
      <c r="D16" s="7">
        <v>55.0</v>
      </c>
      <c r="E16" s="7">
        <v>9.92884218E8</v>
      </c>
      <c r="F16" s="7">
        <v>1.0</v>
      </c>
      <c r="G16" s="7" t="s">
        <v>105</v>
      </c>
      <c r="H16" s="7" t="s">
        <v>106</v>
      </c>
      <c r="I16" s="7" t="s">
        <v>101</v>
      </c>
      <c r="J16" s="7" t="s">
        <v>33</v>
      </c>
      <c r="K16" s="7" t="s">
        <v>107</v>
      </c>
      <c r="L16" s="7" t="s">
        <v>101</v>
      </c>
      <c r="M16" s="7" t="s">
        <v>108</v>
      </c>
      <c r="N16" s="7" t="s">
        <v>109</v>
      </c>
      <c r="O16" s="7" t="s">
        <v>38</v>
      </c>
      <c r="P16" s="7" t="s">
        <v>110</v>
      </c>
      <c r="R16" s="7" t="s">
        <v>20</v>
      </c>
      <c r="S16" s="8"/>
    </row>
    <row r="17" ht="22.5" customHeight="1">
      <c r="A17" s="6">
        <v>45953.816797719905</v>
      </c>
      <c r="B17" s="7" t="s">
        <v>96</v>
      </c>
      <c r="C17" s="7" t="s">
        <v>111</v>
      </c>
      <c r="D17" s="7" t="s">
        <v>98</v>
      </c>
      <c r="E17" s="7">
        <v>9.22913365E8</v>
      </c>
      <c r="F17" s="7">
        <v>1.0</v>
      </c>
      <c r="G17" s="7" t="s">
        <v>112</v>
      </c>
      <c r="H17" s="7" t="s">
        <v>113</v>
      </c>
      <c r="I17" s="7" t="s">
        <v>101</v>
      </c>
      <c r="J17" s="7" t="s">
        <v>26</v>
      </c>
      <c r="K17" s="7" t="s">
        <v>101</v>
      </c>
      <c r="L17" s="7" t="s">
        <v>101</v>
      </c>
      <c r="M17" s="7" t="s">
        <v>114</v>
      </c>
      <c r="N17" s="7" t="s">
        <v>37</v>
      </c>
      <c r="O17" s="7" t="s">
        <v>38</v>
      </c>
      <c r="P17" s="7" t="s">
        <v>115</v>
      </c>
      <c r="R17" s="7" t="s">
        <v>20</v>
      </c>
      <c r="S17" s="8"/>
    </row>
    <row r="18" ht="22.5" customHeight="1">
      <c r="A18" s="6">
        <v>45954.595106249995</v>
      </c>
      <c r="B18" s="7" t="s">
        <v>29</v>
      </c>
      <c r="C18" s="7" t="s">
        <v>30</v>
      </c>
      <c r="D18" s="7">
        <v>65.0</v>
      </c>
      <c r="E18" s="7">
        <v>9.96105445E8</v>
      </c>
      <c r="F18" s="7">
        <v>1.0</v>
      </c>
      <c r="G18" s="7" t="s">
        <v>116</v>
      </c>
      <c r="H18" s="7" t="s">
        <v>32</v>
      </c>
      <c r="I18" s="7" t="s">
        <v>32</v>
      </c>
      <c r="J18" s="7" t="s">
        <v>33</v>
      </c>
      <c r="K18" s="7" t="s">
        <v>34</v>
      </c>
      <c r="L18" s="7" t="s">
        <v>35</v>
      </c>
      <c r="M18" s="7" t="s">
        <v>36</v>
      </c>
      <c r="N18" s="7" t="s">
        <v>37</v>
      </c>
      <c r="O18" s="7" t="s">
        <v>38</v>
      </c>
      <c r="P18" s="7" t="s">
        <v>117</v>
      </c>
      <c r="Q18" s="8"/>
      <c r="R18" s="7" t="s">
        <v>20</v>
      </c>
      <c r="S18" s="8"/>
    </row>
    <row r="19" ht="22.5" customHeight="1">
      <c r="A19" s="6">
        <v>45958.88565387731</v>
      </c>
      <c r="B19" s="7" t="s">
        <v>19</v>
      </c>
      <c r="C19" s="7" t="s">
        <v>20</v>
      </c>
      <c r="D19" s="7" t="s">
        <v>98</v>
      </c>
      <c r="E19" s="7" t="s">
        <v>98</v>
      </c>
      <c r="F19" s="7">
        <v>1.0</v>
      </c>
      <c r="G19" s="7" t="s">
        <v>118</v>
      </c>
      <c r="H19" s="7" t="s">
        <v>119</v>
      </c>
      <c r="I19" s="7" t="s">
        <v>101</v>
      </c>
      <c r="J19" s="7" t="s">
        <v>26</v>
      </c>
      <c r="K19" s="7" t="s">
        <v>101</v>
      </c>
      <c r="L19" s="7" t="s">
        <v>101</v>
      </c>
      <c r="M19" s="7" t="s">
        <v>36</v>
      </c>
      <c r="N19" s="7" t="s">
        <v>28</v>
      </c>
      <c r="O19" s="7" t="s">
        <v>38</v>
      </c>
      <c r="P19" s="7" t="s">
        <v>120</v>
      </c>
      <c r="R19" s="7" t="s">
        <v>20</v>
      </c>
      <c r="S19" s="8"/>
    </row>
    <row r="20" ht="22.5" customHeight="1">
      <c r="A20" s="6">
        <v>45961.58303355324</v>
      </c>
      <c r="B20" s="7" t="s">
        <v>121</v>
      </c>
      <c r="C20" s="7" t="s">
        <v>122</v>
      </c>
      <c r="D20" s="7">
        <v>35.0</v>
      </c>
      <c r="E20" s="7">
        <v>9.62828484E8</v>
      </c>
      <c r="F20" s="7">
        <v>1.0</v>
      </c>
      <c r="G20" s="7" t="s">
        <v>123</v>
      </c>
      <c r="H20" s="7" t="s">
        <v>124</v>
      </c>
      <c r="I20" s="7" t="s">
        <v>44</v>
      </c>
      <c r="J20" s="7" t="s">
        <v>33</v>
      </c>
      <c r="K20" s="7" t="s">
        <v>125</v>
      </c>
      <c r="L20" s="7" t="s">
        <v>44</v>
      </c>
      <c r="M20" s="7" t="s">
        <v>36</v>
      </c>
      <c r="N20" s="7" t="s">
        <v>37</v>
      </c>
      <c r="O20" s="7" t="s">
        <v>38</v>
      </c>
      <c r="P20" s="7" t="s">
        <v>126</v>
      </c>
      <c r="R20" s="7" t="s">
        <v>40</v>
      </c>
      <c r="S20" s="8"/>
    </row>
    <row r="21" ht="22.5" customHeight="1">
      <c r="A21" s="6">
        <v>45964.6359465625</v>
      </c>
      <c r="B21" s="7" t="s">
        <v>127</v>
      </c>
      <c r="C21" s="7" t="s">
        <v>128</v>
      </c>
      <c r="D21" s="7">
        <v>45.0</v>
      </c>
      <c r="E21" s="7">
        <v>9.92756602E8</v>
      </c>
      <c r="F21" s="7">
        <v>1.0</v>
      </c>
      <c r="G21" s="7" t="s">
        <v>129</v>
      </c>
      <c r="H21" s="7" t="s">
        <v>130</v>
      </c>
      <c r="I21" s="7" t="s">
        <v>130</v>
      </c>
      <c r="J21" s="7" t="s">
        <v>33</v>
      </c>
      <c r="K21" s="7" t="s">
        <v>131</v>
      </c>
      <c r="L21" s="7" t="s">
        <v>132</v>
      </c>
      <c r="M21" s="7" t="s">
        <v>133</v>
      </c>
      <c r="N21" s="7" t="s">
        <v>37</v>
      </c>
      <c r="O21" s="7" t="s">
        <v>38</v>
      </c>
      <c r="P21" s="7" t="s">
        <v>134</v>
      </c>
      <c r="R21" s="7" t="s">
        <v>20</v>
      </c>
      <c r="S21" s="8"/>
    </row>
    <row r="22" ht="22.5" customHeight="1">
      <c r="A22" s="6">
        <v>45965.625017488426</v>
      </c>
      <c r="B22" s="7" t="s">
        <v>84</v>
      </c>
      <c r="C22" s="7" t="s">
        <v>135</v>
      </c>
      <c r="D22" s="7">
        <v>35.0</v>
      </c>
      <c r="E22" s="7">
        <v>9.44241485E8</v>
      </c>
      <c r="F22" s="7">
        <v>1.0</v>
      </c>
      <c r="G22" s="7" t="s">
        <v>65</v>
      </c>
      <c r="H22" s="7" t="s">
        <v>136</v>
      </c>
      <c r="I22" s="7" t="s">
        <v>44</v>
      </c>
      <c r="J22" s="7" t="s">
        <v>33</v>
      </c>
      <c r="K22" s="7" t="s">
        <v>137</v>
      </c>
      <c r="L22" s="7" t="s">
        <v>44</v>
      </c>
      <c r="M22" s="7" t="s">
        <v>36</v>
      </c>
      <c r="N22" s="7" t="s">
        <v>37</v>
      </c>
      <c r="O22" s="7" t="s">
        <v>38</v>
      </c>
      <c r="P22" s="7" t="s">
        <v>138</v>
      </c>
      <c r="R22" s="7" t="s">
        <v>20</v>
      </c>
      <c r="S22" s="8"/>
    </row>
    <row r="23" ht="22.5" customHeight="1">
      <c r="A23" s="6">
        <v>45965.697016805556</v>
      </c>
      <c r="B23" s="7" t="s">
        <v>139</v>
      </c>
      <c r="C23" s="7" t="s">
        <v>140</v>
      </c>
      <c r="D23" s="7">
        <v>28.0</v>
      </c>
      <c r="E23" s="7">
        <v>9.737278E8</v>
      </c>
      <c r="F23" s="7">
        <v>1.0</v>
      </c>
      <c r="G23" s="7" t="s">
        <v>141</v>
      </c>
      <c r="H23" s="7" t="s">
        <v>142</v>
      </c>
      <c r="I23" s="7" t="s">
        <v>44</v>
      </c>
      <c r="J23" s="7" t="s">
        <v>61</v>
      </c>
      <c r="K23" s="7" t="s">
        <v>44</v>
      </c>
      <c r="L23" s="7" t="s">
        <v>143</v>
      </c>
      <c r="M23" s="7" t="s">
        <v>36</v>
      </c>
      <c r="N23" s="7" t="s">
        <v>37</v>
      </c>
      <c r="O23" s="7" t="s">
        <v>38</v>
      </c>
      <c r="P23" s="7" t="s">
        <v>144</v>
      </c>
      <c r="R23" s="7" t="s">
        <v>20</v>
      </c>
      <c r="S23" s="8"/>
    </row>
    <row r="24" ht="22.5" customHeight="1">
      <c r="A24" s="6">
        <v>45965.74292390046</v>
      </c>
      <c r="B24" s="7" t="s">
        <v>145</v>
      </c>
      <c r="C24" s="7" t="s">
        <v>146</v>
      </c>
      <c r="D24" s="7">
        <v>24.0</v>
      </c>
      <c r="E24" s="7">
        <v>9.9926511E7</v>
      </c>
      <c r="F24" s="7">
        <v>1.0</v>
      </c>
      <c r="G24" s="7" t="s">
        <v>65</v>
      </c>
      <c r="H24" s="7" t="s">
        <v>119</v>
      </c>
      <c r="I24" s="7" t="s">
        <v>101</v>
      </c>
      <c r="J24" s="7" t="s">
        <v>26</v>
      </c>
      <c r="K24" s="7" t="s">
        <v>101</v>
      </c>
      <c r="L24" s="7" t="s">
        <v>101</v>
      </c>
      <c r="M24" s="7" t="s">
        <v>147</v>
      </c>
      <c r="N24" s="7" t="s">
        <v>148</v>
      </c>
      <c r="O24" s="7" t="s">
        <v>38</v>
      </c>
      <c r="P24" s="7" t="s">
        <v>149</v>
      </c>
      <c r="R24" s="7" t="s">
        <v>20</v>
      </c>
      <c r="S24" s="8"/>
    </row>
    <row r="25" ht="22.5" customHeight="1">
      <c r="A25" s="6">
        <v>45972.387485115745</v>
      </c>
      <c r="B25" s="7" t="s">
        <v>19</v>
      </c>
      <c r="C25" s="7" t="s">
        <v>150</v>
      </c>
      <c r="D25" s="7" t="s">
        <v>98</v>
      </c>
      <c r="E25" s="7">
        <v>9.51014121E8</v>
      </c>
      <c r="F25" s="7">
        <v>1.0</v>
      </c>
      <c r="G25" s="7" t="s">
        <v>151</v>
      </c>
      <c r="H25" s="7" t="s">
        <v>101</v>
      </c>
      <c r="I25" s="7" t="s">
        <v>101</v>
      </c>
      <c r="J25" s="7" t="s">
        <v>26</v>
      </c>
      <c r="K25" s="7" t="s">
        <v>101</v>
      </c>
      <c r="L25" s="7" t="s">
        <v>101</v>
      </c>
      <c r="M25" s="7" t="s">
        <v>36</v>
      </c>
      <c r="N25" s="7" t="s">
        <v>152</v>
      </c>
      <c r="O25" s="7" t="s">
        <v>27</v>
      </c>
      <c r="P25" s="7" t="s">
        <v>153</v>
      </c>
      <c r="R25" s="7" t="s">
        <v>20</v>
      </c>
      <c r="S25" s="8"/>
    </row>
    <row r="26" ht="22.5" customHeight="1">
      <c r="A26" s="6">
        <v>45972.39089391204</v>
      </c>
      <c r="B26" s="7" t="s">
        <v>154</v>
      </c>
      <c r="C26" s="7" t="s">
        <v>155</v>
      </c>
      <c r="D26" s="7">
        <v>31.0</v>
      </c>
      <c r="E26" s="7">
        <v>9.94351278E8</v>
      </c>
      <c r="F26" s="7" t="s">
        <v>156</v>
      </c>
      <c r="G26" s="7" t="s">
        <v>157</v>
      </c>
      <c r="H26" s="7" t="s">
        <v>124</v>
      </c>
      <c r="I26" s="7" t="s">
        <v>124</v>
      </c>
      <c r="J26" s="7" t="s">
        <v>61</v>
      </c>
      <c r="K26" s="7" t="s">
        <v>158</v>
      </c>
      <c r="L26" s="7" t="s">
        <v>159</v>
      </c>
      <c r="M26" s="7" t="s">
        <v>36</v>
      </c>
      <c r="N26" s="7" t="s">
        <v>160</v>
      </c>
      <c r="O26" s="7" t="s">
        <v>38</v>
      </c>
      <c r="P26" s="7" t="s">
        <v>161</v>
      </c>
      <c r="R26" s="7" t="s">
        <v>40</v>
      </c>
      <c r="S26" s="8"/>
    </row>
    <row r="27" ht="22.5" customHeight="1">
      <c r="A27" s="6">
        <v>45972.514162569445</v>
      </c>
      <c r="B27" s="7" t="s">
        <v>162</v>
      </c>
      <c r="C27" s="7" t="s">
        <v>163</v>
      </c>
      <c r="D27" s="7">
        <v>38.0</v>
      </c>
      <c r="E27" s="7">
        <v>9.97511595E8</v>
      </c>
      <c r="F27" s="7">
        <v>1.0</v>
      </c>
      <c r="G27" s="7" t="s">
        <v>164</v>
      </c>
      <c r="H27" s="7" t="s">
        <v>106</v>
      </c>
      <c r="I27" s="7" t="s">
        <v>67</v>
      </c>
      <c r="J27" s="7" t="s">
        <v>26</v>
      </c>
      <c r="K27" s="7" t="s">
        <v>67</v>
      </c>
      <c r="L27" s="7" t="s">
        <v>67</v>
      </c>
      <c r="M27" s="7" t="s">
        <v>54</v>
      </c>
      <c r="N27" s="7" t="s">
        <v>37</v>
      </c>
      <c r="O27" s="7" t="s">
        <v>165</v>
      </c>
      <c r="P27" s="7" t="s">
        <v>166</v>
      </c>
      <c r="R27" s="7" t="s">
        <v>20</v>
      </c>
      <c r="S27" s="8"/>
    </row>
    <row r="28" ht="22.5" customHeight="1">
      <c r="A28" s="6">
        <v>45972.91836946759</v>
      </c>
      <c r="B28" s="7" t="s">
        <v>167</v>
      </c>
      <c r="C28" s="7" t="s">
        <v>168</v>
      </c>
      <c r="D28" s="7">
        <v>30.0</v>
      </c>
      <c r="E28" s="7">
        <v>9.36818139E8</v>
      </c>
      <c r="F28" s="7">
        <v>1.0</v>
      </c>
      <c r="G28" s="7" t="s">
        <v>65</v>
      </c>
      <c r="H28" s="7" t="s">
        <v>169</v>
      </c>
      <c r="I28" s="7" t="s">
        <v>170</v>
      </c>
      <c r="J28" s="7" t="s">
        <v>26</v>
      </c>
      <c r="K28" s="7" t="s">
        <v>44</v>
      </c>
      <c r="L28" s="7" t="s">
        <v>44</v>
      </c>
      <c r="M28" s="7" t="s">
        <v>54</v>
      </c>
      <c r="N28" s="7" t="s">
        <v>37</v>
      </c>
      <c r="O28" s="7" t="s">
        <v>38</v>
      </c>
      <c r="P28" s="7" t="s">
        <v>171</v>
      </c>
      <c r="R28" s="7" t="s">
        <v>20</v>
      </c>
      <c r="S28" s="8"/>
    </row>
    <row r="29" ht="22.5" customHeight="1">
      <c r="A29" s="6">
        <v>45975.519363900465</v>
      </c>
      <c r="B29" s="7" t="s">
        <v>172</v>
      </c>
      <c r="C29" s="7" t="s">
        <v>173</v>
      </c>
      <c r="D29" s="7">
        <v>52.0</v>
      </c>
      <c r="E29" s="7">
        <v>9.87753533E8</v>
      </c>
      <c r="F29" s="7">
        <v>1.0</v>
      </c>
      <c r="G29" s="7" t="s">
        <v>174</v>
      </c>
      <c r="H29" s="7" t="s">
        <v>44</v>
      </c>
      <c r="I29" s="7" t="s">
        <v>124</v>
      </c>
      <c r="J29" s="7" t="s">
        <v>33</v>
      </c>
      <c r="K29" s="7" t="s">
        <v>175</v>
      </c>
      <c r="L29" s="7" t="s">
        <v>44</v>
      </c>
      <c r="M29" s="7" t="s">
        <v>36</v>
      </c>
      <c r="N29" s="7" t="s">
        <v>176</v>
      </c>
      <c r="P29" s="7" t="s">
        <v>177</v>
      </c>
      <c r="R29" s="7" t="s">
        <v>40</v>
      </c>
      <c r="S29" s="8"/>
    </row>
    <row r="30" ht="22.5" customHeight="1">
      <c r="A30" s="6">
        <v>45975.55838398148</v>
      </c>
      <c r="B30" s="7" t="s">
        <v>178</v>
      </c>
      <c r="C30" s="7" t="s">
        <v>179</v>
      </c>
      <c r="D30" s="7">
        <v>44.0</v>
      </c>
      <c r="E30" s="7">
        <v>9.5181691E8</v>
      </c>
      <c r="F30" s="7">
        <v>1.0</v>
      </c>
      <c r="G30" s="7" t="s">
        <v>157</v>
      </c>
      <c r="H30" s="7" t="s">
        <v>124</v>
      </c>
      <c r="I30" s="7" t="s">
        <v>44</v>
      </c>
      <c r="J30" s="7" t="s">
        <v>61</v>
      </c>
      <c r="K30" s="7" t="s">
        <v>44</v>
      </c>
      <c r="L30" s="7" t="s">
        <v>180</v>
      </c>
      <c r="M30" s="7" t="s">
        <v>181</v>
      </c>
      <c r="N30" s="7" t="s">
        <v>37</v>
      </c>
      <c r="O30" s="7" t="s">
        <v>165</v>
      </c>
      <c r="P30" s="7" t="s">
        <v>138</v>
      </c>
      <c r="R30" s="7" t="s">
        <v>40</v>
      </c>
      <c r="S30" s="8"/>
    </row>
    <row r="31" ht="22.5" customHeight="1">
      <c r="A31" s="6">
        <v>45975.56247524306</v>
      </c>
      <c r="B31" s="7" t="s">
        <v>182</v>
      </c>
      <c r="C31" s="7" t="s">
        <v>183</v>
      </c>
      <c r="D31" s="7" t="s">
        <v>184</v>
      </c>
      <c r="E31" s="7" t="s">
        <v>185</v>
      </c>
      <c r="F31" s="7">
        <v>1.0</v>
      </c>
      <c r="G31" s="7" t="s">
        <v>186</v>
      </c>
      <c r="H31" s="7" t="s">
        <v>44</v>
      </c>
      <c r="I31" s="7" t="s">
        <v>44</v>
      </c>
      <c r="J31" s="7" t="s">
        <v>33</v>
      </c>
      <c r="K31" s="7" t="s">
        <v>44</v>
      </c>
      <c r="L31" s="7" t="s">
        <v>44</v>
      </c>
      <c r="M31" s="7" t="s">
        <v>36</v>
      </c>
      <c r="N31" s="7" t="s">
        <v>187</v>
      </c>
      <c r="O31" s="7" t="s">
        <v>27</v>
      </c>
      <c r="P31" s="7" t="s">
        <v>188</v>
      </c>
      <c r="R31" s="7" t="s">
        <v>40</v>
      </c>
      <c r="S31" s="8"/>
    </row>
    <row r="32" ht="22.5" customHeight="1">
      <c r="A32" s="6">
        <v>45975.77407167824</v>
      </c>
      <c r="B32" s="7" t="s">
        <v>189</v>
      </c>
      <c r="C32" s="7" t="s">
        <v>190</v>
      </c>
      <c r="D32" s="7">
        <v>48.0</v>
      </c>
      <c r="E32" s="7">
        <v>9.56165361E8</v>
      </c>
      <c r="F32" s="7" t="s">
        <v>191</v>
      </c>
      <c r="G32" s="7" t="s">
        <v>192</v>
      </c>
      <c r="H32" s="7" t="s">
        <v>193</v>
      </c>
      <c r="I32" s="7" t="s">
        <v>44</v>
      </c>
      <c r="J32" s="7" t="s">
        <v>61</v>
      </c>
      <c r="K32" s="7" t="s">
        <v>194</v>
      </c>
      <c r="L32" s="7" t="s">
        <v>195</v>
      </c>
      <c r="M32" s="7" t="s">
        <v>108</v>
      </c>
      <c r="N32" s="7" t="s">
        <v>37</v>
      </c>
      <c r="O32" s="7" t="s">
        <v>165</v>
      </c>
      <c r="P32" s="7" t="s">
        <v>138</v>
      </c>
      <c r="R32" s="7" t="s">
        <v>40</v>
      </c>
      <c r="S32" s="8"/>
    </row>
    <row r="33" ht="22.5" customHeight="1">
      <c r="A33" s="6">
        <v>45977.90752806713</v>
      </c>
      <c r="B33" s="7" t="s">
        <v>96</v>
      </c>
      <c r="C33" s="7" t="s">
        <v>196</v>
      </c>
      <c r="D33" s="7" t="s">
        <v>197</v>
      </c>
      <c r="E33" s="7" t="s">
        <v>197</v>
      </c>
      <c r="F33" s="7">
        <v>1.0</v>
      </c>
      <c r="G33" s="9" t="s">
        <v>198</v>
      </c>
      <c r="H33" s="7" t="s">
        <v>32</v>
      </c>
      <c r="I33" s="7" t="s">
        <v>32</v>
      </c>
      <c r="J33" s="7" t="s">
        <v>26</v>
      </c>
      <c r="K33" s="7" t="s">
        <v>199</v>
      </c>
      <c r="L33" s="7" t="s">
        <v>32</v>
      </c>
      <c r="M33" s="7" t="s">
        <v>36</v>
      </c>
      <c r="N33" s="7" t="s">
        <v>200</v>
      </c>
      <c r="O33" s="7" t="s">
        <v>38</v>
      </c>
      <c r="P33" s="7" t="s">
        <v>201</v>
      </c>
      <c r="R33" s="7" t="s">
        <v>20</v>
      </c>
      <c r="S33" s="8"/>
    </row>
    <row r="34" ht="22.5" customHeight="1">
      <c r="A34" s="6">
        <v>45978.86331612269</v>
      </c>
      <c r="B34" s="7" t="s">
        <v>96</v>
      </c>
      <c r="C34" s="7" t="s">
        <v>202</v>
      </c>
      <c r="D34" s="7" t="s">
        <v>25</v>
      </c>
      <c r="E34" s="7" t="s">
        <v>25</v>
      </c>
      <c r="F34" s="7">
        <v>1.0</v>
      </c>
      <c r="G34" s="7" t="s">
        <v>203</v>
      </c>
      <c r="H34" s="7" t="s">
        <v>204</v>
      </c>
      <c r="I34" s="7" t="s">
        <v>101</v>
      </c>
      <c r="J34" s="7" t="s">
        <v>26</v>
      </c>
      <c r="K34" s="7" t="s">
        <v>25</v>
      </c>
      <c r="L34" s="7" t="s">
        <v>205</v>
      </c>
      <c r="M34" s="7" t="s">
        <v>83</v>
      </c>
      <c r="N34" s="7" t="s">
        <v>37</v>
      </c>
      <c r="O34" s="7" t="s">
        <v>165</v>
      </c>
      <c r="P34" s="7" t="s">
        <v>98</v>
      </c>
      <c r="R34" s="7" t="s">
        <v>20</v>
      </c>
      <c r="S34" s="8"/>
    </row>
    <row r="35" ht="22.5" customHeight="1">
      <c r="A35" s="6">
        <v>45979.69035916666</v>
      </c>
      <c r="B35" s="7" t="s">
        <v>206</v>
      </c>
      <c r="C35" s="7" t="s">
        <v>207</v>
      </c>
      <c r="D35" s="7">
        <v>48.0</v>
      </c>
      <c r="E35" s="7">
        <v>9.69946919E8</v>
      </c>
      <c r="F35" s="7">
        <v>1.0</v>
      </c>
      <c r="G35" s="7" t="s">
        <v>208</v>
      </c>
      <c r="H35" s="7" t="s">
        <v>44</v>
      </c>
      <c r="I35" s="7" t="s">
        <v>44</v>
      </c>
      <c r="J35" s="7" t="s">
        <v>33</v>
      </c>
      <c r="K35" s="7" t="s">
        <v>209</v>
      </c>
      <c r="L35" s="7" t="s">
        <v>209</v>
      </c>
      <c r="M35" s="7" t="s">
        <v>36</v>
      </c>
      <c r="N35" s="7" t="s">
        <v>210</v>
      </c>
      <c r="O35" s="7" t="s">
        <v>27</v>
      </c>
      <c r="P35" s="7" t="s">
        <v>211</v>
      </c>
      <c r="R35" s="7" t="s">
        <v>20</v>
      </c>
      <c r="S35" s="8"/>
    </row>
    <row r="36" ht="22.5" customHeight="1">
      <c r="A36" s="6">
        <v>45982.34273240741</v>
      </c>
      <c r="B36" s="7" t="s">
        <v>96</v>
      </c>
      <c r="C36" s="7" t="s">
        <v>183</v>
      </c>
      <c r="D36" s="7">
        <v>52.0</v>
      </c>
      <c r="E36" s="7">
        <v>9.87753533E8</v>
      </c>
      <c r="F36" s="7">
        <v>2.0</v>
      </c>
      <c r="G36" s="7" t="s">
        <v>212</v>
      </c>
      <c r="H36" s="7" t="s">
        <v>213</v>
      </c>
      <c r="I36" s="7" t="s">
        <v>32</v>
      </c>
      <c r="J36" s="7" t="s">
        <v>33</v>
      </c>
      <c r="K36" s="7" t="s">
        <v>175</v>
      </c>
      <c r="L36" s="7" t="s">
        <v>32</v>
      </c>
      <c r="M36" s="7" t="s">
        <v>54</v>
      </c>
      <c r="N36" s="7" t="s">
        <v>37</v>
      </c>
      <c r="O36" s="7" t="s">
        <v>38</v>
      </c>
      <c r="P36" s="7" t="s">
        <v>197</v>
      </c>
      <c r="R36" s="7" t="s">
        <v>20</v>
      </c>
      <c r="S36" s="8"/>
    </row>
    <row r="37" ht="22.5" customHeight="1">
      <c r="A37" s="6">
        <v>45984.88196184028</v>
      </c>
      <c r="B37" s="7" t="s">
        <v>214</v>
      </c>
      <c r="C37" s="7" t="s">
        <v>215</v>
      </c>
      <c r="D37" s="7">
        <v>61.0</v>
      </c>
      <c r="E37" s="7">
        <v>9.98639002E8</v>
      </c>
      <c r="F37" s="7">
        <v>1.0</v>
      </c>
      <c r="G37" s="7" t="s">
        <v>216</v>
      </c>
      <c r="H37" s="7" t="s">
        <v>217</v>
      </c>
      <c r="I37" s="7" t="s">
        <v>44</v>
      </c>
      <c r="J37" s="7" t="s">
        <v>26</v>
      </c>
      <c r="K37" s="7" t="s">
        <v>44</v>
      </c>
      <c r="L37" s="7" t="s">
        <v>44</v>
      </c>
      <c r="M37" s="7" t="s">
        <v>36</v>
      </c>
      <c r="N37" s="7" t="s">
        <v>218</v>
      </c>
      <c r="O37" s="7" t="s">
        <v>38</v>
      </c>
      <c r="P37" s="7" t="s">
        <v>219</v>
      </c>
      <c r="R37" s="7" t="s">
        <v>20</v>
      </c>
      <c r="S37" s="8"/>
    </row>
    <row r="38" ht="22.5" customHeight="1">
      <c r="A38" s="6">
        <v>45985.34241976852</v>
      </c>
      <c r="B38" s="7" t="s">
        <v>220</v>
      </c>
      <c r="C38" s="7" t="s">
        <v>221</v>
      </c>
      <c r="D38" s="7">
        <v>56.0</v>
      </c>
      <c r="E38" s="7">
        <v>9.92182012E8</v>
      </c>
      <c r="F38" s="7">
        <v>1.0</v>
      </c>
      <c r="G38" s="7" t="s">
        <v>105</v>
      </c>
      <c r="H38" s="7" t="s">
        <v>222</v>
      </c>
      <c r="I38" s="7" t="s">
        <v>44</v>
      </c>
      <c r="J38" s="7" t="s">
        <v>61</v>
      </c>
      <c r="K38" s="7" t="s">
        <v>44</v>
      </c>
      <c r="L38" s="7" t="s">
        <v>223</v>
      </c>
      <c r="M38" s="7" t="s">
        <v>108</v>
      </c>
      <c r="N38" s="7" t="s">
        <v>224</v>
      </c>
      <c r="O38" s="7" t="s">
        <v>38</v>
      </c>
      <c r="P38" s="7" t="s">
        <v>225</v>
      </c>
      <c r="R38" s="7" t="s">
        <v>20</v>
      </c>
      <c r="S38" s="8"/>
    </row>
    <row r="39" ht="22.5" customHeight="1">
      <c r="A39" s="6">
        <v>45985.543141319446</v>
      </c>
      <c r="B39" s="7" t="s">
        <v>226</v>
      </c>
      <c r="C39" s="7" t="s">
        <v>227</v>
      </c>
      <c r="D39" s="7">
        <v>26.0</v>
      </c>
      <c r="E39" s="7">
        <v>9.55859341E8</v>
      </c>
      <c r="F39" s="10" t="s">
        <v>228</v>
      </c>
      <c r="G39" s="7" t="s">
        <v>229</v>
      </c>
      <c r="H39" s="7" t="s">
        <v>44</v>
      </c>
      <c r="I39" s="7" t="s">
        <v>44</v>
      </c>
      <c r="J39" s="7" t="s">
        <v>61</v>
      </c>
      <c r="K39" s="7" t="s">
        <v>32</v>
      </c>
      <c r="L39" s="7" t="s">
        <v>230</v>
      </c>
      <c r="M39" s="7" t="s">
        <v>54</v>
      </c>
      <c r="N39" s="7" t="s">
        <v>231</v>
      </c>
      <c r="O39" s="7" t="s">
        <v>38</v>
      </c>
      <c r="P39" s="7" t="s">
        <v>232</v>
      </c>
      <c r="R39" s="7" t="s">
        <v>20</v>
      </c>
      <c r="S39" s="8"/>
    </row>
    <row r="40" ht="22.5" customHeight="1">
      <c r="A40" s="6">
        <v>45985.57034306713</v>
      </c>
      <c r="B40" s="7" t="s">
        <v>233</v>
      </c>
      <c r="C40" s="7" t="s">
        <v>234</v>
      </c>
      <c r="D40" s="7">
        <v>37.0</v>
      </c>
      <c r="E40" s="7">
        <v>9.61887361E8</v>
      </c>
      <c r="F40" s="7">
        <v>1.0</v>
      </c>
      <c r="G40" s="7" t="s">
        <v>235</v>
      </c>
      <c r="H40" s="7" t="s">
        <v>236</v>
      </c>
      <c r="I40" s="7" t="s">
        <v>44</v>
      </c>
      <c r="J40" s="7" t="s">
        <v>26</v>
      </c>
      <c r="K40" s="7" t="s">
        <v>237</v>
      </c>
      <c r="L40" s="7" t="s">
        <v>44</v>
      </c>
      <c r="M40" s="7" t="s">
        <v>54</v>
      </c>
      <c r="N40" s="7" t="s">
        <v>37</v>
      </c>
      <c r="O40" s="7" t="s">
        <v>38</v>
      </c>
      <c r="P40" s="7" t="s">
        <v>238</v>
      </c>
      <c r="R40" s="7" t="s">
        <v>20</v>
      </c>
      <c r="S40" s="8"/>
    </row>
    <row r="41" ht="22.5" customHeight="1">
      <c r="A41" s="6">
        <v>45985.652143935185</v>
      </c>
      <c r="B41" s="7" t="s">
        <v>19</v>
      </c>
      <c r="C41" s="7" t="s">
        <v>239</v>
      </c>
      <c r="D41" s="7" t="s">
        <v>98</v>
      </c>
      <c r="E41" s="7">
        <v>9.91229293E8</v>
      </c>
      <c r="F41" s="7">
        <v>1.0</v>
      </c>
      <c r="G41" s="7" t="s">
        <v>240</v>
      </c>
      <c r="H41" s="7" t="s">
        <v>101</v>
      </c>
      <c r="I41" s="7" t="s">
        <v>101</v>
      </c>
      <c r="J41" s="7" t="s">
        <v>33</v>
      </c>
      <c r="K41" s="7" t="s">
        <v>98</v>
      </c>
      <c r="L41" s="7" t="s">
        <v>101</v>
      </c>
      <c r="M41" s="7" t="s">
        <v>36</v>
      </c>
      <c r="N41" s="7" t="s">
        <v>37</v>
      </c>
      <c r="O41" s="7" t="s">
        <v>38</v>
      </c>
      <c r="P41" s="7" t="s">
        <v>98</v>
      </c>
      <c r="R41" s="7" t="s">
        <v>20</v>
      </c>
      <c r="S41" s="8"/>
    </row>
    <row r="42" ht="22.5" customHeight="1">
      <c r="A42" s="6">
        <v>45985.653480891204</v>
      </c>
      <c r="B42" s="7" t="s">
        <v>241</v>
      </c>
      <c r="C42" s="7" t="s">
        <v>239</v>
      </c>
      <c r="D42" s="7" t="s">
        <v>98</v>
      </c>
      <c r="E42" s="7">
        <v>9.91229293E8</v>
      </c>
      <c r="F42" s="7">
        <v>1.0</v>
      </c>
      <c r="G42" s="9" t="s">
        <v>198</v>
      </c>
      <c r="H42" s="7" t="s">
        <v>25</v>
      </c>
      <c r="I42" s="7" t="s">
        <v>25</v>
      </c>
      <c r="J42" s="7" t="s">
        <v>26</v>
      </c>
      <c r="K42" s="7" t="s">
        <v>25</v>
      </c>
      <c r="L42" s="7" t="s">
        <v>25</v>
      </c>
      <c r="M42" s="7" t="s">
        <v>36</v>
      </c>
      <c r="N42" s="7" t="s">
        <v>37</v>
      </c>
      <c r="O42" s="7" t="s">
        <v>38</v>
      </c>
      <c r="P42" s="7" t="s">
        <v>98</v>
      </c>
      <c r="R42" s="7" t="s">
        <v>20</v>
      </c>
      <c r="S42" s="8"/>
    </row>
    <row r="43" ht="22.5" customHeight="1">
      <c r="A43" s="6">
        <v>45985.662963310184</v>
      </c>
      <c r="B43" s="7" t="s">
        <v>96</v>
      </c>
      <c r="C43" s="7" t="s">
        <v>173</v>
      </c>
      <c r="D43" s="7">
        <v>52.0</v>
      </c>
      <c r="E43" s="7">
        <v>9.87753533E8</v>
      </c>
      <c r="F43" s="7">
        <v>1.0</v>
      </c>
      <c r="G43" s="7" t="s">
        <v>242</v>
      </c>
      <c r="H43" s="7" t="s">
        <v>101</v>
      </c>
      <c r="I43" s="7" t="s">
        <v>101</v>
      </c>
      <c r="J43" s="7" t="s">
        <v>33</v>
      </c>
      <c r="K43" s="7" t="s">
        <v>243</v>
      </c>
      <c r="L43" s="7" t="s">
        <v>25</v>
      </c>
      <c r="M43" s="7" t="s">
        <v>36</v>
      </c>
      <c r="N43" s="7" t="s">
        <v>244</v>
      </c>
      <c r="O43" s="7" t="s">
        <v>38</v>
      </c>
      <c r="P43" s="7" t="s">
        <v>245</v>
      </c>
      <c r="R43" s="7" t="s">
        <v>20</v>
      </c>
      <c r="S43" s="8"/>
    </row>
    <row r="44" ht="22.5" customHeight="1">
      <c r="A44" s="6">
        <v>45985.66669126158</v>
      </c>
      <c r="B44" s="7" t="s">
        <v>96</v>
      </c>
      <c r="C44" s="7" t="s">
        <v>173</v>
      </c>
      <c r="D44" s="7">
        <v>52.0</v>
      </c>
      <c r="E44" s="7">
        <v>9.87753533E8</v>
      </c>
      <c r="F44" s="7">
        <v>2.0</v>
      </c>
      <c r="G44" s="7" t="s">
        <v>246</v>
      </c>
      <c r="H44" s="7" t="s">
        <v>101</v>
      </c>
      <c r="I44" s="7" t="s">
        <v>101</v>
      </c>
      <c r="J44" s="7" t="s">
        <v>33</v>
      </c>
      <c r="K44" s="7" t="s">
        <v>247</v>
      </c>
      <c r="L44" s="7" t="s">
        <v>25</v>
      </c>
      <c r="M44" s="7" t="s">
        <v>36</v>
      </c>
      <c r="N44" s="7" t="s">
        <v>244</v>
      </c>
      <c r="O44" s="7" t="s">
        <v>38</v>
      </c>
      <c r="P44" s="7" t="s">
        <v>248</v>
      </c>
      <c r="R44" s="7" t="s">
        <v>20</v>
      </c>
      <c r="S44" s="8"/>
    </row>
    <row r="45" ht="22.5" customHeight="1">
      <c r="A45" s="6">
        <v>45989.603232928246</v>
      </c>
      <c r="B45" s="7" t="s">
        <v>249</v>
      </c>
      <c r="C45" s="7" t="s">
        <v>250</v>
      </c>
      <c r="D45" s="7">
        <v>39.0</v>
      </c>
      <c r="E45" s="7">
        <v>9.66726043E8</v>
      </c>
      <c r="F45" s="7">
        <v>1.0</v>
      </c>
      <c r="G45" s="7" t="s">
        <v>65</v>
      </c>
      <c r="H45" s="7" t="s">
        <v>251</v>
      </c>
      <c r="I45" s="7" t="s">
        <v>252</v>
      </c>
      <c r="J45" s="7" t="s">
        <v>61</v>
      </c>
      <c r="K45" s="7" t="s">
        <v>253</v>
      </c>
      <c r="L45" s="7" t="s">
        <v>254</v>
      </c>
      <c r="M45" s="7" t="s">
        <v>36</v>
      </c>
      <c r="N45" s="7" t="s">
        <v>255</v>
      </c>
      <c r="O45" s="7" t="s">
        <v>165</v>
      </c>
      <c r="P45" s="7" t="s">
        <v>256</v>
      </c>
      <c r="R45" s="7" t="s">
        <v>20</v>
      </c>
      <c r="S45" s="8"/>
    </row>
    <row r="46" ht="22.5" customHeight="1">
      <c r="A46" s="6">
        <v>45991.59686109953</v>
      </c>
      <c r="B46" s="7" t="s">
        <v>257</v>
      </c>
      <c r="C46" s="7" t="s">
        <v>258</v>
      </c>
      <c r="D46" s="7">
        <v>38.0</v>
      </c>
      <c r="E46" s="7">
        <v>9.71995125E8</v>
      </c>
      <c r="F46" s="7">
        <v>3.0</v>
      </c>
      <c r="G46" s="7" t="s">
        <v>259</v>
      </c>
      <c r="H46" s="7" t="s">
        <v>25</v>
      </c>
      <c r="I46" s="7" t="s">
        <v>25</v>
      </c>
      <c r="J46" s="7" t="s">
        <v>26</v>
      </c>
      <c r="K46" s="7" t="s">
        <v>25</v>
      </c>
      <c r="L46" s="7" t="s">
        <v>25</v>
      </c>
      <c r="M46" s="7" t="s">
        <v>54</v>
      </c>
      <c r="N46" s="7" t="s">
        <v>260</v>
      </c>
      <c r="O46" s="7" t="s">
        <v>165</v>
      </c>
      <c r="P46" s="7" t="s">
        <v>261</v>
      </c>
      <c r="R46" s="7" t="s">
        <v>20</v>
      </c>
      <c r="S46" s="8"/>
    </row>
    <row r="47" ht="22.5" customHeight="1">
      <c r="A47" s="6">
        <v>45991.94633876157</v>
      </c>
      <c r="B47" s="7" t="s">
        <v>262</v>
      </c>
      <c r="C47" s="7" t="s">
        <v>263</v>
      </c>
      <c r="D47" s="7">
        <v>29.0</v>
      </c>
      <c r="E47" s="7">
        <v>9.8931263E8</v>
      </c>
      <c r="F47" s="7">
        <v>1.0</v>
      </c>
      <c r="G47" s="7" t="s">
        <v>31</v>
      </c>
      <c r="H47" s="7" t="s">
        <v>124</v>
      </c>
      <c r="I47" s="7" t="s">
        <v>124</v>
      </c>
      <c r="J47" s="7" t="s">
        <v>33</v>
      </c>
      <c r="K47" s="7" t="s">
        <v>264</v>
      </c>
      <c r="L47" s="7" t="s">
        <v>44</v>
      </c>
      <c r="M47" s="7" t="s">
        <v>108</v>
      </c>
      <c r="N47" s="7" t="s">
        <v>37</v>
      </c>
      <c r="O47" s="7" t="s">
        <v>165</v>
      </c>
      <c r="P47" s="7" t="s">
        <v>265</v>
      </c>
      <c r="R47" s="7" t="s">
        <v>20</v>
      </c>
      <c r="S47" s="8"/>
    </row>
    <row r="48" ht="22.5" customHeight="1">
      <c r="A48" s="6">
        <v>45992.44037244213</v>
      </c>
      <c r="B48" s="7" t="s">
        <v>266</v>
      </c>
      <c r="C48" s="7" t="s">
        <v>267</v>
      </c>
      <c r="D48" s="7">
        <v>26.0</v>
      </c>
      <c r="E48" s="7">
        <v>9.14002082E8</v>
      </c>
      <c r="F48" s="7">
        <v>1.0</v>
      </c>
      <c r="G48" s="7" t="s">
        <v>268</v>
      </c>
      <c r="H48" s="7" t="s">
        <v>269</v>
      </c>
      <c r="I48" s="7" t="s">
        <v>32</v>
      </c>
      <c r="J48" s="7" t="s">
        <v>61</v>
      </c>
      <c r="K48" s="7" t="s">
        <v>32</v>
      </c>
      <c r="L48" s="7" t="s">
        <v>270</v>
      </c>
      <c r="M48" s="7" t="s">
        <v>108</v>
      </c>
      <c r="N48" s="7" t="s">
        <v>271</v>
      </c>
      <c r="O48" s="7" t="s">
        <v>165</v>
      </c>
      <c r="P48" s="7" t="s">
        <v>272</v>
      </c>
      <c r="R48" s="7" t="s">
        <v>20</v>
      </c>
      <c r="S48" s="8"/>
    </row>
    <row r="49" ht="22.5" customHeight="1">
      <c r="A49" s="6">
        <v>45992.526600474535</v>
      </c>
      <c r="B49" s="7" t="s">
        <v>273</v>
      </c>
      <c r="C49" s="7" t="s">
        <v>274</v>
      </c>
      <c r="D49" s="7">
        <v>30.0</v>
      </c>
      <c r="E49" s="7">
        <v>9.8712816E8</v>
      </c>
      <c r="F49" s="7">
        <v>1.0</v>
      </c>
      <c r="G49" s="7" t="s">
        <v>216</v>
      </c>
      <c r="H49" s="7" t="s">
        <v>275</v>
      </c>
      <c r="I49" s="7" t="s">
        <v>44</v>
      </c>
      <c r="J49" s="7" t="s">
        <v>33</v>
      </c>
      <c r="K49" s="7" t="s">
        <v>276</v>
      </c>
      <c r="L49" s="7" t="s">
        <v>67</v>
      </c>
      <c r="M49" s="7" t="s">
        <v>54</v>
      </c>
      <c r="N49" s="7" t="s">
        <v>37</v>
      </c>
      <c r="O49" s="7" t="s">
        <v>38</v>
      </c>
      <c r="P49" s="7" t="s">
        <v>277</v>
      </c>
      <c r="R49" s="7" t="s">
        <v>20</v>
      </c>
      <c r="S49" s="8"/>
    </row>
    <row r="50" ht="22.5" customHeight="1">
      <c r="A50" s="6">
        <v>45992.61129159722</v>
      </c>
      <c r="B50" s="7" t="s">
        <v>278</v>
      </c>
      <c r="C50" s="7" t="s">
        <v>279</v>
      </c>
      <c r="D50" s="7">
        <v>39.0</v>
      </c>
      <c r="E50" s="7">
        <v>9.49721185E8</v>
      </c>
      <c r="F50" s="7">
        <v>1.0</v>
      </c>
      <c r="G50" s="7" t="s">
        <v>280</v>
      </c>
      <c r="H50" s="7" t="s">
        <v>124</v>
      </c>
      <c r="I50" s="7" t="s">
        <v>44</v>
      </c>
      <c r="J50" s="7" t="s">
        <v>61</v>
      </c>
      <c r="K50" s="7" t="s">
        <v>44</v>
      </c>
      <c r="L50" s="7" t="s">
        <v>281</v>
      </c>
      <c r="M50" s="7" t="s">
        <v>108</v>
      </c>
      <c r="N50" s="7" t="s">
        <v>37</v>
      </c>
      <c r="O50" s="7" t="s">
        <v>165</v>
      </c>
      <c r="P50" s="7" t="s">
        <v>282</v>
      </c>
      <c r="R50" s="7" t="s">
        <v>20</v>
      </c>
      <c r="S50" s="8"/>
    </row>
    <row r="51" ht="22.5" customHeight="1">
      <c r="A51" s="6">
        <v>45992.74681293982</v>
      </c>
      <c r="B51" s="7" t="s">
        <v>278</v>
      </c>
      <c r="C51" s="7" t="s">
        <v>279</v>
      </c>
      <c r="D51" s="7">
        <v>39.0</v>
      </c>
      <c r="E51" s="7">
        <v>9.49721185E8</v>
      </c>
      <c r="F51" s="7">
        <v>1.0</v>
      </c>
      <c r="G51" s="7" t="s">
        <v>216</v>
      </c>
      <c r="H51" s="7" t="s">
        <v>119</v>
      </c>
      <c r="I51" s="7" t="s">
        <v>44</v>
      </c>
      <c r="J51" s="7" t="s">
        <v>61</v>
      </c>
      <c r="K51" s="7" t="s">
        <v>101</v>
      </c>
      <c r="L51" s="7" t="s">
        <v>281</v>
      </c>
      <c r="M51" s="7" t="s">
        <v>108</v>
      </c>
      <c r="N51" s="7" t="s">
        <v>37</v>
      </c>
      <c r="O51" s="7" t="s">
        <v>165</v>
      </c>
      <c r="P51" s="7" t="s">
        <v>283</v>
      </c>
      <c r="R51" s="7" t="s">
        <v>20</v>
      </c>
      <c r="S51" s="8"/>
    </row>
    <row r="52" ht="22.5" customHeight="1">
      <c r="A52" s="6">
        <v>45992.752700613426</v>
      </c>
      <c r="B52" s="7" t="s">
        <v>284</v>
      </c>
      <c r="C52" s="7" t="s">
        <v>285</v>
      </c>
      <c r="D52" s="7">
        <v>41.0</v>
      </c>
      <c r="E52" s="7">
        <v>9.9722228E8</v>
      </c>
      <c r="F52" s="7">
        <v>2.0</v>
      </c>
      <c r="G52" s="7" t="s">
        <v>286</v>
      </c>
      <c r="H52" s="7" t="s">
        <v>44</v>
      </c>
      <c r="I52" s="7" t="s">
        <v>44</v>
      </c>
      <c r="J52" s="7" t="s">
        <v>26</v>
      </c>
      <c r="K52" s="7" t="s">
        <v>287</v>
      </c>
      <c r="L52" s="7" t="s">
        <v>287</v>
      </c>
      <c r="M52" s="7" t="s">
        <v>36</v>
      </c>
      <c r="N52" s="7" t="s">
        <v>37</v>
      </c>
      <c r="O52" s="7" t="s">
        <v>38</v>
      </c>
      <c r="P52" s="7" t="s">
        <v>288</v>
      </c>
      <c r="R52" s="7" t="s">
        <v>20</v>
      </c>
      <c r="S52" s="8"/>
    </row>
    <row r="53" ht="22.5" customHeight="1">
      <c r="A53" s="6">
        <v>45992.796751574075</v>
      </c>
      <c r="B53" s="7" t="s">
        <v>96</v>
      </c>
      <c r="C53" s="7" t="s">
        <v>289</v>
      </c>
      <c r="D53" s="7" t="s">
        <v>98</v>
      </c>
      <c r="E53" s="7">
        <v>1.0</v>
      </c>
      <c r="F53" s="7">
        <v>1.0</v>
      </c>
      <c r="G53" s="7" t="s">
        <v>290</v>
      </c>
      <c r="H53" s="7" t="s">
        <v>291</v>
      </c>
      <c r="I53" s="7" t="s">
        <v>101</v>
      </c>
      <c r="J53" s="7" t="s">
        <v>33</v>
      </c>
      <c r="K53" s="7" t="s">
        <v>101</v>
      </c>
      <c r="L53" s="7" t="s">
        <v>101</v>
      </c>
      <c r="M53" s="7" t="s">
        <v>292</v>
      </c>
      <c r="N53" s="7" t="s">
        <v>293</v>
      </c>
      <c r="O53" s="7" t="s">
        <v>38</v>
      </c>
      <c r="P53" s="7" t="s">
        <v>25</v>
      </c>
      <c r="R53" s="7" t="s">
        <v>20</v>
      </c>
      <c r="S53" s="8"/>
    </row>
    <row r="54" ht="22.5" customHeight="1">
      <c r="A54" s="6">
        <v>45992.88572131944</v>
      </c>
      <c r="B54" s="7" t="s">
        <v>96</v>
      </c>
      <c r="C54" s="7" t="s">
        <v>294</v>
      </c>
      <c r="D54" s="7">
        <v>28.0</v>
      </c>
      <c r="E54" s="7">
        <v>9.62363613E8</v>
      </c>
      <c r="F54" s="7">
        <v>1.0</v>
      </c>
      <c r="G54" s="7" t="s">
        <v>105</v>
      </c>
      <c r="H54" s="7" t="s">
        <v>295</v>
      </c>
      <c r="I54" s="7" t="s">
        <v>101</v>
      </c>
      <c r="J54" s="7" t="s">
        <v>26</v>
      </c>
      <c r="K54" s="7" t="s">
        <v>101</v>
      </c>
      <c r="L54" s="7" t="s">
        <v>101</v>
      </c>
      <c r="M54" s="7" t="s">
        <v>296</v>
      </c>
      <c r="N54" s="7" t="s">
        <v>37</v>
      </c>
      <c r="O54" s="7" t="s">
        <v>38</v>
      </c>
      <c r="P54" s="7" t="s">
        <v>101</v>
      </c>
      <c r="R54" s="7" t="s">
        <v>20</v>
      </c>
      <c r="S54" s="8"/>
    </row>
    <row r="55" ht="22.5" customHeight="1">
      <c r="A55" s="6">
        <v>45992.89448293981</v>
      </c>
      <c r="B55" s="7" t="s">
        <v>297</v>
      </c>
      <c r="C55" s="7" t="s">
        <v>20</v>
      </c>
      <c r="D55" s="7" t="s">
        <v>25</v>
      </c>
      <c r="E55" s="7">
        <v>1.0</v>
      </c>
      <c r="F55" s="7">
        <v>1.0</v>
      </c>
      <c r="G55" s="7" t="s">
        <v>298</v>
      </c>
      <c r="H55" s="7" t="s">
        <v>101</v>
      </c>
      <c r="I55" s="7" t="s">
        <v>101</v>
      </c>
      <c r="J55" s="7" t="s">
        <v>26</v>
      </c>
      <c r="K55" s="7" t="s">
        <v>101</v>
      </c>
      <c r="L55" s="7" t="s">
        <v>101</v>
      </c>
      <c r="M55" s="7" t="s">
        <v>36</v>
      </c>
      <c r="N55" s="7" t="s">
        <v>37</v>
      </c>
      <c r="O55" s="7" t="s">
        <v>38</v>
      </c>
      <c r="P55" s="7" t="s">
        <v>299</v>
      </c>
      <c r="R55" s="7" t="s">
        <v>20</v>
      </c>
      <c r="S55" s="8"/>
    </row>
    <row r="56" ht="22.5" customHeight="1">
      <c r="A56" s="6">
        <v>45992.94103113426</v>
      </c>
      <c r="B56" s="7" t="s">
        <v>48</v>
      </c>
      <c r="C56" s="7" t="s">
        <v>300</v>
      </c>
      <c r="D56" s="7">
        <v>30.0</v>
      </c>
      <c r="E56" s="7">
        <v>9.20673596E8</v>
      </c>
      <c r="F56" s="7">
        <v>1.0</v>
      </c>
      <c r="G56" s="7" t="s">
        <v>301</v>
      </c>
      <c r="H56" s="7" t="s">
        <v>124</v>
      </c>
      <c r="I56" s="7" t="s">
        <v>52</v>
      </c>
      <c r="J56" s="7" t="s">
        <v>33</v>
      </c>
      <c r="K56" s="7" t="s">
        <v>302</v>
      </c>
      <c r="L56" s="7" t="s">
        <v>67</v>
      </c>
      <c r="M56" s="7" t="s">
        <v>54</v>
      </c>
      <c r="N56" s="7" t="s">
        <v>37</v>
      </c>
      <c r="O56" s="7" t="s">
        <v>38</v>
      </c>
      <c r="P56" s="7" t="s">
        <v>303</v>
      </c>
      <c r="R56" s="7" t="s">
        <v>20</v>
      </c>
      <c r="S56" s="8"/>
    </row>
    <row r="57" ht="22.5" customHeight="1">
      <c r="A57" s="6">
        <v>45993.421501516204</v>
      </c>
      <c r="B57" s="7" t="s">
        <v>304</v>
      </c>
      <c r="C57" s="7" t="s">
        <v>305</v>
      </c>
      <c r="D57" s="7">
        <v>59.0</v>
      </c>
      <c r="E57" s="7">
        <v>9.8757348E8</v>
      </c>
      <c r="F57" s="7">
        <v>1.0</v>
      </c>
      <c r="G57" s="7" t="s">
        <v>31</v>
      </c>
      <c r="H57" s="7" t="s">
        <v>306</v>
      </c>
      <c r="I57" s="7" t="s">
        <v>307</v>
      </c>
      <c r="J57" s="7" t="s">
        <v>26</v>
      </c>
      <c r="K57" s="7" t="s">
        <v>44</v>
      </c>
      <c r="L57" s="7" t="s">
        <v>52</v>
      </c>
      <c r="M57" s="7" t="s">
        <v>108</v>
      </c>
      <c r="N57" s="7" t="s">
        <v>37</v>
      </c>
      <c r="O57" s="7" t="s">
        <v>165</v>
      </c>
      <c r="P57" s="7" t="s">
        <v>308</v>
      </c>
      <c r="R57" s="7" t="s">
        <v>20</v>
      </c>
      <c r="S57" s="8"/>
    </row>
    <row r="58" ht="22.5" customHeight="1">
      <c r="A58" s="6">
        <v>45994.40290133102</v>
      </c>
      <c r="B58" s="7" t="s">
        <v>309</v>
      </c>
      <c r="C58" s="7" t="s">
        <v>310</v>
      </c>
      <c r="D58" s="7" t="s">
        <v>311</v>
      </c>
      <c r="E58" s="7">
        <v>9.40173275E8</v>
      </c>
      <c r="F58" s="7" t="s">
        <v>312</v>
      </c>
      <c r="G58" s="7" t="s">
        <v>280</v>
      </c>
      <c r="H58" s="7" t="s">
        <v>124</v>
      </c>
      <c r="I58" s="7" t="s">
        <v>313</v>
      </c>
      <c r="J58" s="7" t="s">
        <v>33</v>
      </c>
      <c r="K58" s="7" t="s">
        <v>314</v>
      </c>
      <c r="L58" s="7" t="s">
        <v>315</v>
      </c>
      <c r="M58" s="7" t="s">
        <v>108</v>
      </c>
      <c r="N58" s="7" t="s">
        <v>316</v>
      </c>
      <c r="O58" s="7" t="s">
        <v>38</v>
      </c>
      <c r="P58" s="7" t="s">
        <v>317</v>
      </c>
      <c r="R58" s="7" t="s">
        <v>20</v>
      </c>
      <c r="S58" s="8"/>
    </row>
    <row r="59" ht="22.5" customHeight="1">
      <c r="A59" s="6">
        <v>45994.70318515046</v>
      </c>
      <c r="B59" s="7" t="s">
        <v>96</v>
      </c>
      <c r="C59" s="7" t="s">
        <v>20</v>
      </c>
      <c r="D59" s="7" t="s">
        <v>197</v>
      </c>
      <c r="E59" s="7" t="s">
        <v>197</v>
      </c>
      <c r="F59" s="7">
        <v>1.0</v>
      </c>
      <c r="G59" s="7" t="s">
        <v>318</v>
      </c>
      <c r="H59" s="7" t="s">
        <v>319</v>
      </c>
      <c r="I59" s="7" t="s">
        <v>320</v>
      </c>
      <c r="J59" s="7" t="s">
        <v>26</v>
      </c>
      <c r="K59" s="7" t="s">
        <v>32</v>
      </c>
      <c r="L59" s="7" t="s">
        <v>32</v>
      </c>
      <c r="M59" s="7" t="s">
        <v>36</v>
      </c>
      <c r="N59" s="7" t="s">
        <v>37</v>
      </c>
      <c r="O59" s="7" t="s">
        <v>27</v>
      </c>
      <c r="P59" s="7" t="s">
        <v>197</v>
      </c>
      <c r="R59" s="7" t="s">
        <v>20</v>
      </c>
      <c r="S59" s="8"/>
    </row>
    <row r="60" ht="22.5" customHeight="1">
      <c r="A60" s="6">
        <v>45996.08434457176</v>
      </c>
      <c r="B60" s="7" t="s">
        <v>96</v>
      </c>
      <c r="C60" s="7" t="s">
        <v>20</v>
      </c>
      <c r="D60" s="7" t="s">
        <v>197</v>
      </c>
      <c r="E60" s="7">
        <v>9.62320349E8</v>
      </c>
      <c r="F60" s="7">
        <v>1.0</v>
      </c>
      <c r="G60" s="7" t="s">
        <v>321</v>
      </c>
      <c r="H60" s="7" t="s">
        <v>322</v>
      </c>
      <c r="I60" s="7" t="s">
        <v>323</v>
      </c>
      <c r="J60" s="7" t="s">
        <v>26</v>
      </c>
      <c r="K60" s="7" t="s">
        <v>32</v>
      </c>
      <c r="L60" s="7" t="s">
        <v>32</v>
      </c>
      <c r="M60" s="7" t="s">
        <v>36</v>
      </c>
      <c r="N60" s="7" t="s">
        <v>324</v>
      </c>
      <c r="O60" s="7" t="s">
        <v>27</v>
      </c>
      <c r="P60" s="7" t="s">
        <v>325</v>
      </c>
      <c r="R60" s="7" t="s">
        <v>20</v>
      </c>
      <c r="S60" s="8"/>
    </row>
    <row r="61" ht="22.5" customHeight="1">
      <c r="A61" s="6">
        <v>45996.37614612268</v>
      </c>
      <c r="B61" s="7" t="s">
        <v>326</v>
      </c>
      <c r="C61" s="7" t="s">
        <v>327</v>
      </c>
      <c r="D61" s="7">
        <v>39.0</v>
      </c>
      <c r="E61" s="7">
        <v>9.48315911E8</v>
      </c>
      <c r="F61" s="7">
        <v>1.0</v>
      </c>
      <c r="G61" s="7" t="s">
        <v>328</v>
      </c>
      <c r="H61" s="7" t="s">
        <v>32</v>
      </c>
      <c r="I61" s="7" t="s">
        <v>32</v>
      </c>
      <c r="J61" s="7" t="s">
        <v>26</v>
      </c>
      <c r="K61" s="7" t="s">
        <v>32</v>
      </c>
      <c r="L61" s="7" t="s">
        <v>32</v>
      </c>
      <c r="M61" s="7" t="s">
        <v>47</v>
      </c>
      <c r="N61" s="7" t="s">
        <v>37</v>
      </c>
      <c r="O61" s="7" t="s">
        <v>38</v>
      </c>
      <c r="P61" s="7" t="s">
        <v>329</v>
      </c>
      <c r="R61" s="7" t="s">
        <v>20</v>
      </c>
      <c r="S61" s="8"/>
    </row>
    <row r="62" ht="22.5" customHeight="1">
      <c r="A62" s="6">
        <v>45997.967839432866</v>
      </c>
      <c r="B62" s="7" t="s">
        <v>262</v>
      </c>
      <c r="C62" s="7" t="s">
        <v>263</v>
      </c>
      <c r="D62" s="7">
        <v>29.0</v>
      </c>
      <c r="E62" s="7">
        <v>9.8931263E8</v>
      </c>
      <c r="F62" s="7">
        <v>1.0</v>
      </c>
      <c r="G62" s="7" t="s">
        <v>330</v>
      </c>
      <c r="H62" s="7" t="s">
        <v>101</v>
      </c>
      <c r="I62" s="7" t="s">
        <v>101</v>
      </c>
      <c r="J62" s="7" t="s">
        <v>33</v>
      </c>
      <c r="K62" s="7" t="s">
        <v>264</v>
      </c>
      <c r="L62" s="7" t="s">
        <v>101</v>
      </c>
      <c r="M62" s="7" t="s">
        <v>108</v>
      </c>
      <c r="N62" s="7" t="s">
        <v>37</v>
      </c>
      <c r="O62" s="7" t="s">
        <v>165</v>
      </c>
      <c r="P62" s="7" t="s">
        <v>98</v>
      </c>
      <c r="R62" s="7" t="s">
        <v>20</v>
      </c>
      <c r="S62" s="8"/>
    </row>
    <row r="63" ht="22.5" customHeight="1">
      <c r="A63" s="6">
        <v>45997.99431826389</v>
      </c>
      <c r="B63" s="7" t="s">
        <v>326</v>
      </c>
      <c r="C63" s="7" t="s">
        <v>327</v>
      </c>
      <c r="D63" s="7">
        <v>39.0</v>
      </c>
      <c r="E63" s="7">
        <v>9.48315911E8</v>
      </c>
      <c r="F63" s="7">
        <v>1.0</v>
      </c>
      <c r="G63" s="7" t="s">
        <v>331</v>
      </c>
      <c r="H63" s="7" t="s">
        <v>25</v>
      </c>
      <c r="I63" s="7" t="s">
        <v>25</v>
      </c>
      <c r="J63" s="7" t="s">
        <v>26</v>
      </c>
      <c r="K63" s="7" t="s">
        <v>25</v>
      </c>
      <c r="L63" s="7" t="s">
        <v>25</v>
      </c>
      <c r="M63" s="7" t="s">
        <v>47</v>
      </c>
      <c r="N63" s="7" t="s">
        <v>37</v>
      </c>
      <c r="O63" s="7" t="s">
        <v>38</v>
      </c>
      <c r="P63" s="7" t="s">
        <v>329</v>
      </c>
      <c r="R63" s="7" t="s">
        <v>20</v>
      </c>
      <c r="S63" s="8"/>
    </row>
    <row r="64" ht="22.5" customHeight="1">
      <c r="A64" s="6">
        <v>45997.99873773148</v>
      </c>
      <c r="B64" s="7" t="s">
        <v>96</v>
      </c>
      <c r="C64" s="7" t="s">
        <v>98</v>
      </c>
      <c r="D64" s="7" t="s">
        <v>98</v>
      </c>
      <c r="E64" s="7" t="s">
        <v>332</v>
      </c>
      <c r="F64" s="7">
        <v>1.0</v>
      </c>
      <c r="G64" s="7" t="s">
        <v>333</v>
      </c>
      <c r="H64" s="7" t="s">
        <v>25</v>
      </c>
      <c r="I64" s="7" t="s">
        <v>25</v>
      </c>
      <c r="J64" s="7" t="s">
        <v>26</v>
      </c>
      <c r="K64" s="7" t="s">
        <v>25</v>
      </c>
      <c r="L64" s="7" t="s">
        <v>25</v>
      </c>
      <c r="M64" s="7" t="s">
        <v>47</v>
      </c>
      <c r="N64" s="7" t="s">
        <v>334</v>
      </c>
      <c r="O64" s="7" t="s">
        <v>38</v>
      </c>
      <c r="P64" s="7" t="s">
        <v>335</v>
      </c>
      <c r="R64" s="7" t="s">
        <v>20</v>
      </c>
      <c r="S64" s="8"/>
    </row>
    <row r="65" ht="22.5" customHeight="1">
      <c r="A65" s="6">
        <v>45997.99949135417</v>
      </c>
      <c r="B65" s="7" t="s">
        <v>96</v>
      </c>
      <c r="C65" s="7" t="s">
        <v>98</v>
      </c>
      <c r="D65" s="7" t="s">
        <v>98</v>
      </c>
      <c r="E65" s="7" t="s">
        <v>332</v>
      </c>
      <c r="F65" s="7">
        <v>1.0</v>
      </c>
      <c r="G65" s="7" t="s">
        <v>336</v>
      </c>
      <c r="H65" s="7" t="s">
        <v>25</v>
      </c>
      <c r="I65" s="7" t="s">
        <v>25</v>
      </c>
      <c r="J65" s="7" t="s">
        <v>26</v>
      </c>
      <c r="K65" s="7" t="s">
        <v>25</v>
      </c>
      <c r="L65" s="7" t="s">
        <v>25</v>
      </c>
      <c r="M65" s="7" t="s">
        <v>47</v>
      </c>
      <c r="N65" s="7" t="s">
        <v>337</v>
      </c>
      <c r="O65" s="7" t="s">
        <v>38</v>
      </c>
      <c r="P65" s="7" t="s">
        <v>338</v>
      </c>
      <c r="R65" s="7" t="s">
        <v>20</v>
      </c>
      <c r="S65" s="8"/>
    </row>
    <row r="66" ht="22.5" customHeight="1">
      <c r="A66" s="6">
        <v>45998.00461496528</v>
      </c>
      <c r="B66" s="7" t="s">
        <v>96</v>
      </c>
      <c r="C66" s="7" t="s">
        <v>339</v>
      </c>
      <c r="D66" s="7" t="s">
        <v>98</v>
      </c>
      <c r="E66" s="7" t="s">
        <v>340</v>
      </c>
      <c r="F66" s="7">
        <v>1.0</v>
      </c>
      <c r="G66" s="7" t="s">
        <v>105</v>
      </c>
      <c r="H66" s="7" t="s">
        <v>25</v>
      </c>
      <c r="I66" s="7" t="s">
        <v>25</v>
      </c>
      <c r="J66" s="7" t="s">
        <v>26</v>
      </c>
      <c r="K66" s="7" t="s">
        <v>25</v>
      </c>
      <c r="L66" s="7" t="s">
        <v>25</v>
      </c>
      <c r="M66" s="7" t="s">
        <v>47</v>
      </c>
      <c r="N66" s="7" t="s">
        <v>341</v>
      </c>
      <c r="O66" s="7" t="s">
        <v>38</v>
      </c>
      <c r="P66" s="7" t="s">
        <v>342</v>
      </c>
      <c r="R66" s="7" t="s">
        <v>20</v>
      </c>
      <c r="S66" s="8"/>
    </row>
    <row r="67" ht="22.5" customHeight="1">
      <c r="A67" s="6">
        <v>45998.01412126157</v>
      </c>
      <c r="B67" s="7" t="s">
        <v>96</v>
      </c>
      <c r="C67" s="7" t="s">
        <v>98</v>
      </c>
      <c r="D67" s="7" t="s">
        <v>98</v>
      </c>
      <c r="E67" s="7" t="s">
        <v>343</v>
      </c>
      <c r="F67" s="7">
        <v>1.0</v>
      </c>
      <c r="G67" s="9" t="s">
        <v>65</v>
      </c>
      <c r="H67" s="7" t="s">
        <v>25</v>
      </c>
      <c r="I67" s="7" t="s">
        <v>25</v>
      </c>
      <c r="J67" s="7" t="s">
        <v>26</v>
      </c>
      <c r="K67" s="7" t="s">
        <v>25</v>
      </c>
      <c r="L67" s="7" t="s">
        <v>25</v>
      </c>
      <c r="M67" s="7" t="s">
        <v>47</v>
      </c>
      <c r="N67" s="7" t="s">
        <v>37</v>
      </c>
      <c r="O67" s="7" t="s">
        <v>38</v>
      </c>
      <c r="P67" s="7" t="s">
        <v>344</v>
      </c>
      <c r="R67" s="7" t="s">
        <v>20</v>
      </c>
      <c r="S67" s="8"/>
    </row>
    <row r="68" ht="22.5" customHeight="1">
      <c r="A68" s="6">
        <v>45998.02624777777</v>
      </c>
      <c r="B68" s="7" t="s">
        <v>96</v>
      </c>
      <c r="C68" s="7" t="s">
        <v>345</v>
      </c>
      <c r="D68" s="7" t="s">
        <v>98</v>
      </c>
      <c r="E68" s="7" t="s">
        <v>346</v>
      </c>
      <c r="F68" s="7">
        <v>1.0</v>
      </c>
      <c r="G68" s="7" t="s">
        <v>129</v>
      </c>
      <c r="H68" s="7" t="s">
        <v>98</v>
      </c>
      <c r="I68" s="7" t="s">
        <v>98</v>
      </c>
      <c r="J68" s="7" t="s">
        <v>26</v>
      </c>
      <c r="K68" s="7" t="s">
        <v>25</v>
      </c>
      <c r="L68" s="7" t="s">
        <v>25</v>
      </c>
      <c r="M68" s="7" t="s">
        <v>47</v>
      </c>
      <c r="N68" s="7" t="s">
        <v>37</v>
      </c>
      <c r="O68" s="7" t="s">
        <v>38</v>
      </c>
      <c r="P68" s="7" t="s">
        <v>347</v>
      </c>
      <c r="R68" s="7" t="s">
        <v>20</v>
      </c>
      <c r="S68" s="8"/>
    </row>
    <row r="69" ht="22.5" customHeight="1">
      <c r="A69" s="6">
        <v>45998.033819675926</v>
      </c>
      <c r="B69" s="7" t="s">
        <v>96</v>
      </c>
      <c r="C69" s="7" t="s">
        <v>348</v>
      </c>
      <c r="D69" s="7" t="s">
        <v>98</v>
      </c>
      <c r="E69" s="7" t="s">
        <v>98</v>
      </c>
      <c r="F69" s="7">
        <v>1.0</v>
      </c>
      <c r="G69" s="7" t="s">
        <v>349</v>
      </c>
      <c r="H69" s="7" t="s">
        <v>350</v>
      </c>
      <c r="I69" s="7" t="s">
        <v>350</v>
      </c>
      <c r="J69" s="7" t="s">
        <v>26</v>
      </c>
      <c r="K69" s="7" t="s">
        <v>101</v>
      </c>
      <c r="L69" s="7" t="s">
        <v>101</v>
      </c>
      <c r="M69" s="7" t="s">
        <v>47</v>
      </c>
      <c r="N69" s="7" t="s">
        <v>37</v>
      </c>
      <c r="O69" s="7" t="s">
        <v>27</v>
      </c>
      <c r="P69" s="7" t="s">
        <v>98</v>
      </c>
      <c r="R69" s="7" t="s">
        <v>20</v>
      </c>
      <c r="S69" s="8"/>
    </row>
    <row r="70" ht="22.5" customHeight="1">
      <c r="A70" s="6">
        <v>45998.03920590278</v>
      </c>
      <c r="B70" s="7" t="s">
        <v>96</v>
      </c>
      <c r="C70" s="7" t="s">
        <v>351</v>
      </c>
      <c r="D70" s="7" t="s">
        <v>25</v>
      </c>
      <c r="E70" s="7" t="s">
        <v>98</v>
      </c>
      <c r="F70" s="7">
        <v>1.0</v>
      </c>
      <c r="G70" s="7" t="s">
        <v>352</v>
      </c>
      <c r="H70" s="7" t="s">
        <v>25</v>
      </c>
      <c r="I70" s="7" t="s">
        <v>25</v>
      </c>
      <c r="J70" s="7" t="s">
        <v>26</v>
      </c>
      <c r="K70" s="7" t="s">
        <v>25</v>
      </c>
      <c r="L70" s="7" t="s">
        <v>25</v>
      </c>
      <c r="M70" s="7" t="s">
        <v>47</v>
      </c>
      <c r="N70" s="7" t="s">
        <v>37</v>
      </c>
      <c r="O70" s="7" t="s">
        <v>27</v>
      </c>
      <c r="P70" s="7" t="s">
        <v>353</v>
      </c>
      <c r="R70" s="7" t="s">
        <v>20</v>
      </c>
      <c r="S70" s="8"/>
    </row>
    <row r="71" ht="22.5" customHeight="1">
      <c r="A71" s="6">
        <v>45998.04320738426</v>
      </c>
      <c r="B71" s="7" t="s">
        <v>96</v>
      </c>
      <c r="C71" s="7" t="s">
        <v>351</v>
      </c>
      <c r="D71" s="7" t="s">
        <v>98</v>
      </c>
      <c r="E71" s="7" t="s">
        <v>98</v>
      </c>
      <c r="F71" s="7">
        <v>1.0</v>
      </c>
      <c r="G71" s="7" t="s">
        <v>354</v>
      </c>
      <c r="H71" s="7" t="s">
        <v>355</v>
      </c>
      <c r="I71" s="7" t="s">
        <v>25</v>
      </c>
      <c r="J71" s="7" t="s">
        <v>26</v>
      </c>
      <c r="K71" s="7" t="s">
        <v>25</v>
      </c>
      <c r="L71" s="7" t="s">
        <v>25</v>
      </c>
      <c r="M71" s="7" t="s">
        <v>47</v>
      </c>
      <c r="N71" s="7" t="s">
        <v>37</v>
      </c>
      <c r="O71" s="7" t="s">
        <v>27</v>
      </c>
      <c r="P71" s="7" t="s">
        <v>356</v>
      </c>
      <c r="R71" s="7" t="s">
        <v>20</v>
      </c>
      <c r="S71" s="8"/>
    </row>
    <row r="72" ht="22.5" customHeight="1">
      <c r="A72" s="6">
        <v>45998.054235937496</v>
      </c>
      <c r="B72" s="7" t="s">
        <v>96</v>
      </c>
      <c r="C72" s="7" t="s">
        <v>351</v>
      </c>
      <c r="D72" s="7" t="s">
        <v>98</v>
      </c>
      <c r="E72" s="7" t="s">
        <v>98</v>
      </c>
      <c r="F72" s="7">
        <v>1.0</v>
      </c>
      <c r="G72" s="7" t="s">
        <v>357</v>
      </c>
      <c r="H72" s="7" t="s">
        <v>358</v>
      </c>
      <c r="I72" s="7" t="s">
        <v>98</v>
      </c>
      <c r="J72" s="7" t="s">
        <v>26</v>
      </c>
      <c r="K72" s="7" t="s">
        <v>98</v>
      </c>
      <c r="L72" s="7" t="s">
        <v>98</v>
      </c>
      <c r="M72" s="7" t="s">
        <v>47</v>
      </c>
      <c r="N72" s="7" t="s">
        <v>37</v>
      </c>
      <c r="O72" s="7" t="s">
        <v>27</v>
      </c>
      <c r="P72" s="7" t="s">
        <v>98</v>
      </c>
      <c r="R72" s="7" t="s">
        <v>20</v>
      </c>
      <c r="S72" s="8"/>
    </row>
    <row r="73" ht="22.5" customHeight="1">
      <c r="A73" s="6">
        <v>45998.716929270835</v>
      </c>
      <c r="B73" s="7" t="s">
        <v>359</v>
      </c>
      <c r="C73" s="7" t="s">
        <v>360</v>
      </c>
      <c r="D73" s="7">
        <v>67.0</v>
      </c>
      <c r="E73" s="7">
        <v>9.59021302E8</v>
      </c>
      <c r="F73" s="7">
        <v>2.0</v>
      </c>
      <c r="G73" s="7" t="s">
        <v>361</v>
      </c>
      <c r="H73" s="7" t="s">
        <v>362</v>
      </c>
      <c r="I73" s="7" t="s">
        <v>44</v>
      </c>
      <c r="J73" s="7" t="s">
        <v>61</v>
      </c>
      <c r="K73" s="7" t="s">
        <v>44</v>
      </c>
      <c r="L73" s="7" t="s">
        <v>363</v>
      </c>
      <c r="M73" s="7" t="s">
        <v>36</v>
      </c>
      <c r="N73" s="7" t="s">
        <v>37</v>
      </c>
      <c r="O73" s="7" t="s">
        <v>165</v>
      </c>
      <c r="P73" s="7" t="s">
        <v>364</v>
      </c>
      <c r="R73" s="7" t="s">
        <v>20</v>
      </c>
      <c r="S73" s="8"/>
    </row>
    <row r="74" ht="22.5" customHeight="1">
      <c r="A74" s="6">
        <v>45999.959758020836</v>
      </c>
      <c r="B74" s="7" t="s">
        <v>365</v>
      </c>
      <c r="C74" s="7" t="s">
        <v>366</v>
      </c>
      <c r="D74" s="7">
        <v>26.0</v>
      </c>
      <c r="E74" s="7">
        <v>9.91500246E8</v>
      </c>
      <c r="F74" s="7">
        <v>1.0</v>
      </c>
      <c r="G74" s="7" t="s">
        <v>280</v>
      </c>
      <c r="H74" s="7" t="s">
        <v>367</v>
      </c>
      <c r="I74" s="7" t="s">
        <v>138</v>
      </c>
      <c r="J74" s="7" t="s">
        <v>26</v>
      </c>
      <c r="K74" s="7" t="s">
        <v>368</v>
      </c>
      <c r="L74" s="7" t="s">
        <v>303</v>
      </c>
      <c r="M74" s="7" t="s">
        <v>36</v>
      </c>
      <c r="N74" s="7" t="s">
        <v>37</v>
      </c>
      <c r="O74" s="7" t="s">
        <v>165</v>
      </c>
      <c r="P74" s="7" t="s">
        <v>369</v>
      </c>
      <c r="R74" s="7" t="s">
        <v>20</v>
      </c>
      <c r="S74" s="8"/>
    </row>
    <row r="75" ht="22.5" customHeight="1">
      <c r="A75" s="6">
        <v>46000.748984351856</v>
      </c>
      <c r="B75" s="7" t="s">
        <v>96</v>
      </c>
      <c r="C75" s="7" t="s">
        <v>360</v>
      </c>
      <c r="D75" s="7" t="s">
        <v>197</v>
      </c>
      <c r="E75" s="7">
        <v>9.59021302E8</v>
      </c>
      <c r="F75" s="7">
        <v>1.0</v>
      </c>
      <c r="G75" s="7" t="s">
        <v>370</v>
      </c>
      <c r="H75" s="7" t="s">
        <v>124</v>
      </c>
      <c r="I75" s="7" t="s">
        <v>32</v>
      </c>
      <c r="J75" s="7" t="s">
        <v>26</v>
      </c>
      <c r="K75" s="7" t="s">
        <v>197</v>
      </c>
      <c r="L75" s="7" t="s">
        <v>197</v>
      </c>
      <c r="M75" s="7" t="s">
        <v>47</v>
      </c>
      <c r="N75" s="7" t="s">
        <v>37</v>
      </c>
      <c r="O75" s="7" t="s">
        <v>165</v>
      </c>
      <c r="P75" s="7" t="s">
        <v>197</v>
      </c>
      <c r="R75" s="7" t="s">
        <v>20</v>
      </c>
      <c r="S75" s="8"/>
    </row>
    <row r="76" ht="22.5" customHeight="1">
      <c r="A76" s="6">
        <v>46000.91389085648</v>
      </c>
      <c r="B76" s="7" t="s">
        <v>371</v>
      </c>
      <c r="C76" s="7" t="s">
        <v>372</v>
      </c>
      <c r="D76" s="7">
        <v>33.0</v>
      </c>
      <c r="E76" s="7">
        <v>9.60494344E8</v>
      </c>
      <c r="F76" s="7">
        <v>1.0</v>
      </c>
      <c r="G76" s="7" t="s">
        <v>373</v>
      </c>
      <c r="H76" s="7" t="s">
        <v>374</v>
      </c>
      <c r="I76" s="7" t="s">
        <v>44</v>
      </c>
      <c r="J76" s="7" t="s">
        <v>26</v>
      </c>
      <c r="K76" s="7" t="s">
        <v>44</v>
      </c>
      <c r="L76" s="7" t="s">
        <v>44</v>
      </c>
      <c r="M76" s="7" t="s">
        <v>36</v>
      </c>
      <c r="N76" s="7" t="s">
        <v>375</v>
      </c>
      <c r="O76" s="7" t="s">
        <v>165</v>
      </c>
      <c r="P76" s="7" t="s">
        <v>376</v>
      </c>
      <c r="R76" s="7" t="s">
        <v>20</v>
      </c>
      <c r="S76" s="8"/>
    </row>
    <row r="77" ht="22.5" customHeight="1">
      <c r="A77" s="6">
        <v>46000.990742187496</v>
      </c>
      <c r="B77" s="7" t="s">
        <v>377</v>
      </c>
      <c r="C77" s="7" t="s">
        <v>378</v>
      </c>
      <c r="D77" s="7">
        <v>35.0</v>
      </c>
      <c r="E77" s="7">
        <v>9.93907112E8</v>
      </c>
      <c r="F77" s="7">
        <v>1.0</v>
      </c>
      <c r="G77" s="7" t="s">
        <v>379</v>
      </c>
      <c r="H77" s="7" t="s">
        <v>380</v>
      </c>
      <c r="I77" s="7" t="s">
        <v>44</v>
      </c>
      <c r="J77" s="7" t="s">
        <v>26</v>
      </c>
      <c r="K77" s="7" t="s">
        <v>44</v>
      </c>
      <c r="L77" s="7" t="s">
        <v>44</v>
      </c>
      <c r="M77" s="7" t="s">
        <v>54</v>
      </c>
      <c r="N77" s="7" t="s">
        <v>255</v>
      </c>
      <c r="O77" s="7" t="s">
        <v>165</v>
      </c>
      <c r="P77" s="7" t="s">
        <v>381</v>
      </c>
      <c r="R77" s="7" t="s">
        <v>20</v>
      </c>
      <c r="S77" s="8"/>
    </row>
    <row r="78" ht="22.5" customHeight="1">
      <c r="A78" s="6">
        <v>46001.386441006944</v>
      </c>
      <c r="B78" s="7" t="s">
        <v>382</v>
      </c>
      <c r="C78" s="7" t="s">
        <v>383</v>
      </c>
      <c r="D78" s="7" t="s">
        <v>98</v>
      </c>
      <c r="E78" s="7" t="s">
        <v>98</v>
      </c>
      <c r="F78" s="7">
        <v>1.0</v>
      </c>
      <c r="G78" s="7" t="s">
        <v>384</v>
      </c>
      <c r="H78" s="7" t="s">
        <v>25</v>
      </c>
      <c r="I78" s="7" t="s">
        <v>101</v>
      </c>
      <c r="J78" s="7" t="s">
        <v>26</v>
      </c>
      <c r="K78" s="7" t="s">
        <v>25</v>
      </c>
      <c r="L78" s="7" t="s">
        <v>25</v>
      </c>
      <c r="M78" s="7" t="s">
        <v>47</v>
      </c>
      <c r="N78" s="7" t="s">
        <v>37</v>
      </c>
      <c r="O78" s="7" t="s">
        <v>27</v>
      </c>
      <c r="P78" s="7" t="s">
        <v>25</v>
      </c>
      <c r="R78" s="7" t="s">
        <v>20</v>
      </c>
      <c r="S78" s="8"/>
    </row>
    <row r="79" ht="22.5" customHeight="1">
      <c r="A79" s="6">
        <v>46001.38714549768</v>
      </c>
      <c r="B79" s="7" t="s">
        <v>385</v>
      </c>
      <c r="C79" s="7" t="s">
        <v>386</v>
      </c>
      <c r="D79" s="7">
        <v>34.0</v>
      </c>
      <c r="E79" s="7">
        <v>9.89169868E8</v>
      </c>
      <c r="F79" s="7">
        <v>1.0</v>
      </c>
      <c r="G79" s="7" t="s">
        <v>31</v>
      </c>
      <c r="H79" s="7" t="s">
        <v>44</v>
      </c>
      <c r="I79" s="7" t="s">
        <v>44</v>
      </c>
      <c r="J79" s="7" t="s">
        <v>61</v>
      </c>
      <c r="K79" s="7" t="s">
        <v>44</v>
      </c>
      <c r="L79" s="7" t="s">
        <v>387</v>
      </c>
      <c r="M79" s="7" t="s">
        <v>108</v>
      </c>
      <c r="N79" s="7" t="s">
        <v>388</v>
      </c>
      <c r="O79" s="7" t="s">
        <v>165</v>
      </c>
      <c r="P79" s="7" t="s">
        <v>389</v>
      </c>
      <c r="R79" s="7" t="s">
        <v>20</v>
      </c>
      <c r="S79" s="8"/>
    </row>
    <row r="80" ht="22.5" customHeight="1">
      <c r="A80" s="6">
        <v>46001.44046106482</v>
      </c>
      <c r="B80" s="7" t="s">
        <v>390</v>
      </c>
      <c r="C80" s="7" t="s">
        <v>391</v>
      </c>
      <c r="D80" s="7">
        <v>60.0</v>
      </c>
      <c r="E80" s="7">
        <v>9.92542502E8</v>
      </c>
      <c r="F80" s="7">
        <v>1.0</v>
      </c>
      <c r="G80" s="7" t="s">
        <v>392</v>
      </c>
      <c r="H80" s="7" t="s">
        <v>393</v>
      </c>
      <c r="I80" s="7" t="s">
        <v>44</v>
      </c>
      <c r="J80" s="7" t="s">
        <v>33</v>
      </c>
      <c r="K80" s="7" t="s">
        <v>394</v>
      </c>
      <c r="L80" s="7" t="s">
        <v>44</v>
      </c>
      <c r="M80" s="7" t="s">
        <v>395</v>
      </c>
      <c r="N80" s="7" t="s">
        <v>396</v>
      </c>
      <c r="O80" s="7" t="s">
        <v>38</v>
      </c>
      <c r="P80" s="7" t="s">
        <v>44</v>
      </c>
      <c r="R80" s="7" t="s">
        <v>20</v>
      </c>
      <c r="S80" s="8"/>
    </row>
    <row r="81" ht="22.5" customHeight="1">
      <c r="A81" s="6">
        <v>46001.52860847222</v>
      </c>
      <c r="B81" s="7" t="s">
        <v>397</v>
      </c>
      <c r="C81" s="7" t="s">
        <v>398</v>
      </c>
      <c r="D81" s="7">
        <v>30.0</v>
      </c>
      <c r="E81" s="7">
        <v>9.86836968E8</v>
      </c>
      <c r="F81" s="7">
        <v>1.0</v>
      </c>
      <c r="G81" s="7" t="s">
        <v>399</v>
      </c>
      <c r="H81" s="7" t="s">
        <v>400</v>
      </c>
      <c r="I81" s="7" t="s">
        <v>401</v>
      </c>
      <c r="J81" s="7" t="s">
        <v>26</v>
      </c>
      <c r="K81" s="7" t="s">
        <v>402</v>
      </c>
      <c r="L81" s="7" t="s">
        <v>403</v>
      </c>
      <c r="M81" s="7" t="s">
        <v>36</v>
      </c>
      <c r="N81" s="7" t="s">
        <v>404</v>
      </c>
      <c r="O81" s="7" t="s">
        <v>38</v>
      </c>
      <c r="P81" s="7" t="s">
        <v>46</v>
      </c>
      <c r="R81" s="7" t="s">
        <v>20</v>
      </c>
      <c r="S81" s="8"/>
    </row>
    <row r="82" ht="22.5" customHeight="1">
      <c r="A82" s="6">
        <v>46001.56947630787</v>
      </c>
      <c r="B82" s="7" t="s">
        <v>405</v>
      </c>
      <c r="C82" s="7" t="s">
        <v>391</v>
      </c>
      <c r="D82" s="7" t="s">
        <v>98</v>
      </c>
      <c r="E82" s="7">
        <v>9.92542502E8</v>
      </c>
      <c r="F82" s="7">
        <v>1.0</v>
      </c>
      <c r="G82" s="7" t="s">
        <v>406</v>
      </c>
      <c r="H82" s="7" t="s">
        <v>407</v>
      </c>
      <c r="I82" s="7" t="s">
        <v>101</v>
      </c>
      <c r="J82" s="7" t="s">
        <v>33</v>
      </c>
      <c r="K82" s="7" t="s">
        <v>394</v>
      </c>
      <c r="L82" s="7" t="s">
        <v>25</v>
      </c>
      <c r="M82" s="7" t="s">
        <v>47</v>
      </c>
      <c r="N82" s="7" t="s">
        <v>37</v>
      </c>
      <c r="O82" s="7" t="s">
        <v>38</v>
      </c>
      <c r="P82" s="7" t="s">
        <v>98</v>
      </c>
      <c r="R82" s="7" t="s">
        <v>20</v>
      </c>
      <c r="S82" s="8"/>
    </row>
    <row r="83" ht="22.5" customHeight="1">
      <c r="A83" s="6">
        <v>46001.75139958333</v>
      </c>
      <c r="B83" s="7" t="s">
        <v>408</v>
      </c>
      <c r="C83" s="7" t="s">
        <v>409</v>
      </c>
      <c r="D83" s="7">
        <v>36.0</v>
      </c>
      <c r="E83" s="7">
        <v>9.32173308E8</v>
      </c>
      <c r="F83" s="7">
        <v>1.0</v>
      </c>
      <c r="G83" s="7" t="s">
        <v>410</v>
      </c>
      <c r="H83" s="7" t="s">
        <v>411</v>
      </c>
      <c r="I83" s="7" t="s">
        <v>44</v>
      </c>
      <c r="J83" s="7" t="s">
        <v>61</v>
      </c>
      <c r="K83" s="7" t="s">
        <v>44</v>
      </c>
      <c r="L83" s="7" t="s">
        <v>412</v>
      </c>
      <c r="M83" s="7" t="s">
        <v>108</v>
      </c>
      <c r="N83" s="7" t="s">
        <v>37</v>
      </c>
      <c r="O83" s="7" t="s">
        <v>165</v>
      </c>
      <c r="P83" s="7" t="s">
        <v>413</v>
      </c>
      <c r="R83" s="7" t="s">
        <v>20</v>
      </c>
      <c r="S83" s="8"/>
    </row>
    <row r="84" ht="22.5" customHeight="1">
      <c r="A84" s="6">
        <v>46002.57988420139</v>
      </c>
      <c r="B84" s="7" t="s">
        <v>414</v>
      </c>
      <c r="C84" s="7" t="s">
        <v>415</v>
      </c>
      <c r="D84" s="7">
        <v>60.0</v>
      </c>
      <c r="E84" s="7">
        <v>9.88951414E8</v>
      </c>
      <c r="F84" s="7">
        <v>1.0</v>
      </c>
      <c r="G84" s="7" t="s">
        <v>416</v>
      </c>
      <c r="H84" s="7" t="s">
        <v>417</v>
      </c>
      <c r="I84" s="7" t="s">
        <v>44</v>
      </c>
      <c r="J84" s="7" t="s">
        <v>33</v>
      </c>
      <c r="K84" s="7" t="s">
        <v>418</v>
      </c>
      <c r="L84" s="7" t="s">
        <v>44</v>
      </c>
      <c r="M84" s="7" t="s">
        <v>36</v>
      </c>
      <c r="N84" s="7" t="s">
        <v>37</v>
      </c>
      <c r="O84" s="7" t="s">
        <v>165</v>
      </c>
      <c r="P84" s="7" t="s">
        <v>419</v>
      </c>
      <c r="R84" s="7" t="s">
        <v>20</v>
      </c>
      <c r="S84" s="8"/>
    </row>
    <row r="85" ht="22.5" customHeight="1">
      <c r="A85" s="6">
        <v>46003.753677546294</v>
      </c>
      <c r="B85" s="7" t="s">
        <v>420</v>
      </c>
      <c r="C85" s="7" t="s">
        <v>421</v>
      </c>
      <c r="D85" s="7">
        <v>53.0</v>
      </c>
      <c r="E85" s="7">
        <v>9.87769799E8</v>
      </c>
      <c r="F85" s="7">
        <v>2.0</v>
      </c>
      <c r="G85" s="7" t="s">
        <v>105</v>
      </c>
      <c r="H85" s="7" t="s">
        <v>422</v>
      </c>
      <c r="I85" s="7" t="s">
        <v>423</v>
      </c>
      <c r="J85" s="7" t="s">
        <v>33</v>
      </c>
      <c r="K85" s="7" t="s">
        <v>424</v>
      </c>
      <c r="L85" s="7" t="s">
        <v>425</v>
      </c>
      <c r="M85" s="7" t="s">
        <v>36</v>
      </c>
      <c r="N85" s="7" t="s">
        <v>426</v>
      </c>
      <c r="O85" s="7" t="s">
        <v>38</v>
      </c>
      <c r="P85" s="7" t="s">
        <v>427</v>
      </c>
      <c r="R85" s="7" t="s">
        <v>20</v>
      </c>
      <c r="S85" s="8"/>
    </row>
    <row r="86" ht="22.5" customHeight="1">
      <c r="A86" s="6">
        <v>46003.88009569445</v>
      </c>
      <c r="B86" s="7" t="s">
        <v>428</v>
      </c>
      <c r="C86" s="7" t="s">
        <v>429</v>
      </c>
      <c r="D86" s="7">
        <v>35.0</v>
      </c>
      <c r="E86" s="7">
        <v>9.4535113E8</v>
      </c>
      <c r="F86" s="7">
        <v>2.0</v>
      </c>
      <c r="G86" s="7" t="s">
        <v>430</v>
      </c>
      <c r="H86" s="7" t="s">
        <v>44</v>
      </c>
      <c r="I86" s="7" t="s">
        <v>44</v>
      </c>
      <c r="J86" s="7" t="s">
        <v>33</v>
      </c>
      <c r="K86" s="7" t="s">
        <v>431</v>
      </c>
      <c r="L86" s="7" t="s">
        <v>44</v>
      </c>
      <c r="M86" s="7" t="s">
        <v>147</v>
      </c>
      <c r="N86" s="7" t="s">
        <v>432</v>
      </c>
      <c r="O86" s="7" t="s">
        <v>165</v>
      </c>
      <c r="P86" s="7" t="s">
        <v>433</v>
      </c>
      <c r="R86" s="7" t="s">
        <v>20</v>
      </c>
      <c r="S86" s="8"/>
    </row>
    <row r="87" ht="22.5" customHeight="1">
      <c r="A87" s="6">
        <v>46004.419876053245</v>
      </c>
      <c r="B87" s="7" t="s">
        <v>434</v>
      </c>
      <c r="C87" s="7" t="s">
        <v>435</v>
      </c>
      <c r="D87" s="7" t="s">
        <v>436</v>
      </c>
      <c r="E87" s="7">
        <v>9.67964062E8</v>
      </c>
      <c r="F87" s="7">
        <v>1.0</v>
      </c>
      <c r="G87" s="7" t="s">
        <v>437</v>
      </c>
      <c r="H87" s="7" t="s">
        <v>124</v>
      </c>
      <c r="I87" s="7" t="s">
        <v>44</v>
      </c>
      <c r="J87" s="7" t="s">
        <v>33</v>
      </c>
      <c r="K87" s="7" t="s">
        <v>438</v>
      </c>
      <c r="L87" s="7" t="s">
        <v>44</v>
      </c>
      <c r="M87" s="7" t="s">
        <v>108</v>
      </c>
      <c r="N87" s="7" t="s">
        <v>37</v>
      </c>
      <c r="O87" s="7" t="s">
        <v>165</v>
      </c>
      <c r="P87" s="7" t="s">
        <v>439</v>
      </c>
      <c r="R87" s="7" t="s">
        <v>20</v>
      </c>
      <c r="S87" s="8"/>
    </row>
    <row r="88" ht="22.5" customHeight="1">
      <c r="A88" s="6">
        <v>46006.9444397801</v>
      </c>
      <c r="B88" s="7" t="s">
        <v>96</v>
      </c>
      <c r="C88" s="7" t="s">
        <v>440</v>
      </c>
      <c r="D88" s="7" t="s">
        <v>197</v>
      </c>
      <c r="E88" s="7" t="s">
        <v>197</v>
      </c>
      <c r="F88" s="7">
        <v>1.0</v>
      </c>
      <c r="G88" s="7" t="s">
        <v>31</v>
      </c>
      <c r="H88" s="7" t="s">
        <v>124</v>
      </c>
      <c r="I88" s="7" t="s">
        <v>124</v>
      </c>
      <c r="J88" s="7" t="s">
        <v>33</v>
      </c>
      <c r="K88" s="7" t="s">
        <v>441</v>
      </c>
      <c r="L88" s="7" t="s">
        <v>44</v>
      </c>
      <c r="M88" s="7" t="s">
        <v>36</v>
      </c>
      <c r="N88" s="7" t="s">
        <v>37</v>
      </c>
      <c r="O88" s="7" t="s">
        <v>165</v>
      </c>
      <c r="P88" s="7" t="s">
        <v>197</v>
      </c>
      <c r="R88" s="7" t="s">
        <v>20</v>
      </c>
      <c r="S88" s="8"/>
    </row>
    <row r="89" ht="22.5" customHeight="1">
      <c r="A89" s="6">
        <v>46008.05054085648</v>
      </c>
      <c r="B89" s="7" t="s">
        <v>257</v>
      </c>
      <c r="C89" s="7" t="s">
        <v>258</v>
      </c>
      <c r="D89" s="7">
        <v>38.0</v>
      </c>
      <c r="E89" s="7">
        <v>9.71995125E8</v>
      </c>
      <c r="F89" s="7">
        <v>3.0</v>
      </c>
      <c r="G89" s="7" t="s">
        <v>442</v>
      </c>
      <c r="H89" s="7" t="s">
        <v>443</v>
      </c>
      <c r="I89" s="7" t="s">
        <v>101</v>
      </c>
      <c r="J89" s="7" t="s">
        <v>33</v>
      </c>
      <c r="K89" s="7" t="s">
        <v>444</v>
      </c>
      <c r="L89" s="7" t="s">
        <v>25</v>
      </c>
      <c r="M89" s="7" t="s">
        <v>54</v>
      </c>
      <c r="N89" s="7" t="s">
        <v>37</v>
      </c>
      <c r="O89" s="7" t="s">
        <v>165</v>
      </c>
      <c r="P89" s="7" t="s">
        <v>445</v>
      </c>
      <c r="R89" s="7" t="s">
        <v>20</v>
      </c>
      <c r="S89" s="8"/>
    </row>
    <row r="90" ht="22.5" customHeight="1">
      <c r="A90" s="6">
        <v>46008.434357499995</v>
      </c>
      <c r="B90" s="7" t="s">
        <v>446</v>
      </c>
      <c r="C90" s="7" t="s">
        <v>447</v>
      </c>
      <c r="D90" s="7">
        <v>44.0</v>
      </c>
      <c r="E90" s="7">
        <v>9.63534031E8</v>
      </c>
      <c r="F90" s="7">
        <v>1.0</v>
      </c>
      <c r="G90" s="7" t="s">
        <v>105</v>
      </c>
      <c r="H90" s="7" t="s">
        <v>448</v>
      </c>
      <c r="I90" s="7" t="s">
        <v>44</v>
      </c>
      <c r="J90" s="7" t="s">
        <v>33</v>
      </c>
      <c r="K90" s="7" t="s">
        <v>449</v>
      </c>
      <c r="L90" s="7" t="s">
        <v>44</v>
      </c>
      <c r="M90" s="7" t="s">
        <v>36</v>
      </c>
      <c r="N90" s="7" t="s">
        <v>37</v>
      </c>
      <c r="O90" s="7" t="s">
        <v>165</v>
      </c>
      <c r="P90" s="7" t="s">
        <v>450</v>
      </c>
      <c r="R90" s="7" t="s">
        <v>20</v>
      </c>
      <c r="S90" s="8"/>
    </row>
    <row r="91" ht="22.5" customHeight="1">
      <c r="A91" s="6">
        <v>46010.76938835648</v>
      </c>
      <c r="B91" s="7" t="s">
        <v>451</v>
      </c>
      <c r="C91" s="7" t="s">
        <v>452</v>
      </c>
      <c r="D91" s="7">
        <v>37.0</v>
      </c>
      <c r="E91" s="7">
        <v>9.97881109E8</v>
      </c>
      <c r="F91" s="7">
        <v>2.0</v>
      </c>
      <c r="G91" s="7" t="s">
        <v>453</v>
      </c>
      <c r="H91" s="7" t="s">
        <v>454</v>
      </c>
      <c r="I91" s="7" t="s">
        <v>455</v>
      </c>
      <c r="J91" s="7" t="s">
        <v>33</v>
      </c>
      <c r="K91" s="7" t="s">
        <v>456</v>
      </c>
      <c r="L91" s="7" t="s">
        <v>457</v>
      </c>
      <c r="M91" s="7" t="s">
        <v>47</v>
      </c>
      <c r="N91" s="7" t="s">
        <v>458</v>
      </c>
      <c r="O91" s="7" t="s">
        <v>38</v>
      </c>
      <c r="P91" s="7" t="s">
        <v>459</v>
      </c>
      <c r="R91" s="7" t="s">
        <v>20</v>
      </c>
      <c r="S91" s="8"/>
    </row>
    <row r="92" ht="22.5" customHeight="1">
      <c r="A92" s="6">
        <v>46010.853149710645</v>
      </c>
      <c r="B92" s="7" t="s">
        <v>460</v>
      </c>
      <c r="C92" s="7" t="s">
        <v>461</v>
      </c>
      <c r="D92" s="7">
        <v>64.0</v>
      </c>
      <c r="E92" s="7">
        <v>9.88042745E8</v>
      </c>
      <c r="F92" s="7">
        <v>1.0</v>
      </c>
      <c r="G92" s="7" t="s">
        <v>280</v>
      </c>
      <c r="H92" s="7" t="s">
        <v>124</v>
      </c>
      <c r="I92" s="7" t="s">
        <v>44</v>
      </c>
      <c r="J92" s="7" t="s">
        <v>33</v>
      </c>
      <c r="K92" s="7" t="s">
        <v>462</v>
      </c>
      <c r="L92" s="7" t="s">
        <v>463</v>
      </c>
      <c r="M92" s="7" t="s">
        <v>36</v>
      </c>
      <c r="N92" s="7" t="s">
        <v>37</v>
      </c>
      <c r="O92" s="7" t="s">
        <v>38</v>
      </c>
      <c r="P92" s="7" t="s">
        <v>464</v>
      </c>
      <c r="R92" s="7" t="s">
        <v>20</v>
      </c>
      <c r="S92" s="8"/>
    </row>
    <row r="93" ht="22.5" customHeight="1">
      <c r="A93" s="6">
        <v>46012.332085138885</v>
      </c>
      <c r="B93" s="7" t="s">
        <v>465</v>
      </c>
      <c r="C93" s="7" t="s">
        <v>466</v>
      </c>
      <c r="D93" s="7">
        <v>34.0</v>
      </c>
      <c r="E93" s="7">
        <v>9.56302535E8</v>
      </c>
      <c r="F93" s="7">
        <v>1.0</v>
      </c>
      <c r="G93" s="7" t="s">
        <v>379</v>
      </c>
      <c r="H93" s="7" t="s">
        <v>124</v>
      </c>
      <c r="I93" s="7" t="s">
        <v>467</v>
      </c>
      <c r="J93" s="7" t="s">
        <v>33</v>
      </c>
      <c r="K93" s="7" t="s">
        <v>468</v>
      </c>
      <c r="L93" s="7" t="s">
        <v>469</v>
      </c>
      <c r="M93" s="7" t="s">
        <v>36</v>
      </c>
      <c r="N93" s="7" t="s">
        <v>470</v>
      </c>
      <c r="O93" s="7" t="s">
        <v>165</v>
      </c>
      <c r="P93" s="7" t="s">
        <v>471</v>
      </c>
      <c r="R93" s="7" t="s">
        <v>20</v>
      </c>
      <c r="S93" s="8"/>
    </row>
    <row r="94" ht="22.5" customHeight="1">
      <c r="A94" s="6">
        <v>46017.45048943287</v>
      </c>
      <c r="B94" s="7" t="s">
        <v>472</v>
      </c>
      <c r="C94" s="7" t="s">
        <v>473</v>
      </c>
      <c r="D94" s="7">
        <v>33.0</v>
      </c>
      <c r="E94" s="7">
        <v>9.30375845E8</v>
      </c>
      <c r="F94" s="7">
        <v>1.0</v>
      </c>
      <c r="G94" s="7" t="s">
        <v>216</v>
      </c>
      <c r="H94" s="7" t="s">
        <v>474</v>
      </c>
      <c r="I94" s="7" t="s">
        <v>475</v>
      </c>
      <c r="J94" s="7" t="s">
        <v>61</v>
      </c>
      <c r="K94" s="7" t="s">
        <v>476</v>
      </c>
      <c r="L94" s="7" t="s">
        <v>477</v>
      </c>
      <c r="M94" s="7" t="s">
        <v>36</v>
      </c>
      <c r="N94" s="7" t="s">
        <v>37</v>
      </c>
      <c r="O94" s="7" t="s">
        <v>165</v>
      </c>
      <c r="P94" s="7" t="s">
        <v>478</v>
      </c>
      <c r="R94" s="7" t="s">
        <v>20</v>
      </c>
      <c r="S94" s="8"/>
    </row>
    <row r="95" ht="22.5" customHeight="1">
      <c r="A95" s="6">
        <v>46034.32908023148</v>
      </c>
      <c r="B95" s="7" t="s">
        <v>385</v>
      </c>
      <c r="C95" s="7" t="s">
        <v>479</v>
      </c>
      <c r="D95" s="7">
        <v>34.0</v>
      </c>
      <c r="E95" s="7">
        <v>9.89169869E8</v>
      </c>
      <c r="F95" s="7">
        <v>1.0</v>
      </c>
      <c r="G95" s="7" t="s">
        <v>31</v>
      </c>
      <c r="H95" s="7" t="s">
        <v>124</v>
      </c>
      <c r="I95" s="7" t="s">
        <v>44</v>
      </c>
      <c r="J95" s="7" t="s">
        <v>61</v>
      </c>
      <c r="K95" s="7" t="s">
        <v>44</v>
      </c>
      <c r="L95" s="7" t="s">
        <v>480</v>
      </c>
      <c r="M95" s="7" t="s">
        <v>108</v>
      </c>
      <c r="N95" s="7" t="s">
        <v>481</v>
      </c>
      <c r="O95" s="7" t="s">
        <v>165</v>
      </c>
      <c r="P95" s="7" t="s">
        <v>482</v>
      </c>
      <c r="R95" s="7" t="s">
        <v>20</v>
      </c>
      <c r="S95" s="8"/>
    </row>
    <row r="96" ht="22.5" customHeight="1">
      <c r="A96" s="6">
        <v>46043.84399903935</v>
      </c>
      <c r="B96" s="7" t="s">
        <v>483</v>
      </c>
      <c r="C96" s="7" t="s">
        <v>484</v>
      </c>
      <c r="D96" s="7">
        <v>30.0</v>
      </c>
      <c r="E96" s="7">
        <v>9.00703127E8</v>
      </c>
      <c r="F96" s="7">
        <v>1.0</v>
      </c>
      <c r="G96" s="7" t="s">
        <v>485</v>
      </c>
      <c r="H96" s="7" t="s">
        <v>124</v>
      </c>
      <c r="I96" s="7" t="s">
        <v>124</v>
      </c>
      <c r="J96" s="7" t="s">
        <v>61</v>
      </c>
      <c r="K96" s="7" t="s">
        <v>44</v>
      </c>
      <c r="L96" s="7" t="s">
        <v>486</v>
      </c>
      <c r="M96" s="7" t="s">
        <v>36</v>
      </c>
      <c r="N96" s="7" t="s">
        <v>37</v>
      </c>
      <c r="O96" s="7" t="s">
        <v>165</v>
      </c>
      <c r="P96" s="7" t="s">
        <v>303</v>
      </c>
      <c r="R96" s="7" t="s">
        <v>20</v>
      </c>
      <c r="S96" s="8"/>
    </row>
    <row r="97" ht="22.5" customHeight="1">
      <c r="A97" s="6">
        <v>46045.52108493056</v>
      </c>
      <c r="B97" s="7" t="s">
        <v>487</v>
      </c>
      <c r="C97" s="7" t="s">
        <v>488</v>
      </c>
      <c r="D97" s="7" t="s">
        <v>488</v>
      </c>
      <c r="E97" s="7" t="s">
        <v>488</v>
      </c>
      <c r="F97" s="7">
        <v>1.0</v>
      </c>
      <c r="G97" s="7" t="s">
        <v>229</v>
      </c>
      <c r="H97" s="7" t="s">
        <v>489</v>
      </c>
      <c r="I97" s="7" t="s">
        <v>490</v>
      </c>
      <c r="J97" s="7" t="s">
        <v>33</v>
      </c>
      <c r="K97" s="7" t="s">
        <v>488</v>
      </c>
      <c r="L97" s="7" t="s">
        <v>488</v>
      </c>
      <c r="M97" s="7" t="s">
        <v>36</v>
      </c>
      <c r="N97" s="7" t="s">
        <v>37</v>
      </c>
      <c r="O97" s="7" t="s">
        <v>27</v>
      </c>
      <c r="P97" s="7" t="s">
        <v>491</v>
      </c>
      <c r="R97" s="7" t="s">
        <v>20</v>
      </c>
      <c r="S97" s="8"/>
    </row>
    <row r="98" ht="22.5" customHeight="1">
      <c r="A98" s="6">
        <v>46045.5334641088</v>
      </c>
      <c r="B98" s="7" t="s">
        <v>492</v>
      </c>
      <c r="C98" s="7" t="s">
        <v>493</v>
      </c>
      <c r="D98" s="7">
        <v>25.0</v>
      </c>
      <c r="E98" s="7">
        <v>9.7338596E8</v>
      </c>
      <c r="F98" s="7">
        <v>1.0</v>
      </c>
      <c r="G98" s="7" t="s">
        <v>494</v>
      </c>
      <c r="H98" s="7" t="s">
        <v>44</v>
      </c>
      <c r="I98" s="7" t="s">
        <v>44</v>
      </c>
      <c r="J98" s="7" t="s">
        <v>61</v>
      </c>
      <c r="K98" s="7" t="s">
        <v>44</v>
      </c>
      <c r="L98" s="7" t="s">
        <v>495</v>
      </c>
      <c r="M98" s="7" t="s">
        <v>54</v>
      </c>
      <c r="N98" s="7" t="s">
        <v>37</v>
      </c>
      <c r="O98" s="7" t="s">
        <v>165</v>
      </c>
      <c r="P98" s="7" t="s">
        <v>44</v>
      </c>
      <c r="R98" s="7" t="s">
        <v>20</v>
      </c>
      <c r="S98" s="8"/>
    </row>
    <row r="99" ht="22.5" customHeight="1">
      <c r="A99" s="6">
        <v>46045.63538689815</v>
      </c>
      <c r="B99" s="7" t="s">
        <v>496</v>
      </c>
      <c r="C99" s="7" t="s">
        <v>497</v>
      </c>
      <c r="D99" s="7">
        <v>34.0</v>
      </c>
      <c r="E99" s="7">
        <v>9.53985449E8</v>
      </c>
      <c r="F99" s="7" t="s">
        <v>498</v>
      </c>
      <c r="G99" s="7" t="s">
        <v>31</v>
      </c>
      <c r="H99" s="7" t="s">
        <v>44</v>
      </c>
      <c r="I99" s="7" t="s">
        <v>499</v>
      </c>
      <c r="J99" s="7" t="s">
        <v>61</v>
      </c>
      <c r="K99" s="7" t="s">
        <v>500</v>
      </c>
      <c r="L99" s="7" t="s">
        <v>501</v>
      </c>
      <c r="M99" s="7" t="s">
        <v>36</v>
      </c>
      <c r="N99" s="7" t="s">
        <v>502</v>
      </c>
      <c r="O99" s="7" t="s">
        <v>165</v>
      </c>
      <c r="P99" s="7" t="s">
        <v>503</v>
      </c>
      <c r="R99" s="7" t="s">
        <v>20</v>
      </c>
      <c r="S99" s="8"/>
    </row>
    <row r="100" ht="22.5" customHeight="1">
      <c r="A100" s="6">
        <v>46047.76332913194</v>
      </c>
      <c r="B100" s="7" t="s">
        <v>504</v>
      </c>
      <c r="C100" s="7" t="s">
        <v>505</v>
      </c>
      <c r="D100" s="7">
        <v>37.0</v>
      </c>
      <c r="E100" s="7">
        <v>9.14665571E8</v>
      </c>
      <c r="F100" s="7">
        <v>1.0</v>
      </c>
      <c r="G100" s="7" t="s">
        <v>506</v>
      </c>
      <c r="H100" s="7" t="s">
        <v>507</v>
      </c>
      <c r="I100" s="10" t="s">
        <v>508</v>
      </c>
      <c r="J100" s="7" t="s">
        <v>33</v>
      </c>
      <c r="K100" s="7" t="s">
        <v>509</v>
      </c>
      <c r="L100" s="7" t="s">
        <v>67</v>
      </c>
      <c r="M100" s="7" t="s">
        <v>36</v>
      </c>
      <c r="N100" s="7" t="s">
        <v>470</v>
      </c>
      <c r="O100" s="7" t="s">
        <v>165</v>
      </c>
      <c r="P100" s="7" t="s">
        <v>67</v>
      </c>
      <c r="R100" s="7" t="s">
        <v>20</v>
      </c>
      <c r="S100" s="8"/>
    </row>
    <row r="101" ht="22.5" customHeight="1">
      <c r="A101" s="6">
        <v>46052.55047578704</v>
      </c>
      <c r="B101" s="7" t="s">
        <v>510</v>
      </c>
      <c r="C101" s="7" t="s">
        <v>511</v>
      </c>
      <c r="D101" s="7">
        <v>29.0</v>
      </c>
      <c r="E101" s="7">
        <v>9.61220342E8</v>
      </c>
      <c r="F101" s="7">
        <v>1.0</v>
      </c>
      <c r="G101" s="7" t="s">
        <v>65</v>
      </c>
      <c r="H101" s="7" t="s">
        <v>512</v>
      </c>
      <c r="I101" s="7" t="s">
        <v>52</v>
      </c>
      <c r="J101" s="7" t="s">
        <v>61</v>
      </c>
      <c r="K101" s="7" t="s">
        <v>52</v>
      </c>
      <c r="L101" s="7" t="s">
        <v>513</v>
      </c>
      <c r="M101" s="7" t="s">
        <v>108</v>
      </c>
      <c r="N101" s="7" t="s">
        <v>37</v>
      </c>
      <c r="O101" s="7" t="s">
        <v>38</v>
      </c>
      <c r="P101" s="7" t="s">
        <v>514</v>
      </c>
      <c r="R101" s="7" t="s">
        <v>515</v>
      </c>
    </row>
    <row r="102" ht="22.5" customHeight="1">
      <c r="A102" s="6">
        <v>46052.78660302083</v>
      </c>
      <c r="B102" s="7" t="s">
        <v>516</v>
      </c>
      <c r="C102" s="7" t="s">
        <v>517</v>
      </c>
      <c r="D102" s="7">
        <v>30.0</v>
      </c>
      <c r="E102" s="7">
        <v>9.44338876E8</v>
      </c>
      <c r="F102" s="7">
        <v>1.0</v>
      </c>
      <c r="G102" s="7" t="s">
        <v>518</v>
      </c>
      <c r="H102" s="7" t="s">
        <v>51</v>
      </c>
      <c r="I102" s="7" t="s">
        <v>44</v>
      </c>
      <c r="J102" s="7" t="s">
        <v>26</v>
      </c>
      <c r="K102" s="7" t="s">
        <v>44</v>
      </c>
      <c r="L102" s="7" t="s">
        <v>44</v>
      </c>
      <c r="M102" s="7" t="s">
        <v>36</v>
      </c>
      <c r="N102" s="7" t="s">
        <v>37</v>
      </c>
      <c r="O102" s="7" t="s">
        <v>165</v>
      </c>
      <c r="P102" s="7" t="s">
        <v>303</v>
      </c>
      <c r="R102" s="7" t="s">
        <v>20</v>
      </c>
    </row>
    <row r="103" ht="22.5" customHeight="1">
      <c r="A103" s="6">
        <v>46053.93332881945</v>
      </c>
      <c r="B103" s="7" t="s">
        <v>519</v>
      </c>
      <c r="C103" s="7" t="s">
        <v>520</v>
      </c>
      <c r="D103" s="7" t="s">
        <v>521</v>
      </c>
      <c r="E103" s="7">
        <v>9.59391802E8</v>
      </c>
      <c r="F103" s="7">
        <v>1.0</v>
      </c>
      <c r="G103" s="7" t="s">
        <v>522</v>
      </c>
      <c r="H103" s="7" t="s">
        <v>44</v>
      </c>
      <c r="I103" s="7" t="s">
        <v>44</v>
      </c>
      <c r="J103" s="7" t="s">
        <v>33</v>
      </c>
      <c r="K103" s="7" t="s">
        <v>523</v>
      </c>
      <c r="L103" s="7" t="s">
        <v>524</v>
      </c>
      <c r="M103" s="7" t="s">
        <v>108</v>
      </c>
      <c r="N103" s="7" t="s">
        <v>37</v>
      </c>
      <c r="O103" s="7" t="s">
        <v>38</v>
      </c>
      <c r="P103" s="7" t="s">
        <v>525</v>
      </c>
      <c r="R103" s="7" t="s">
        <v>20</v>
      </c>
    </row>
    <row r="104" ht="22.5" customHeight="1">
      <c r="A104" s="6">
        <v>46053.936287847224</v>
      </c>
      <c r="B104" s="7" t="s">
        <v>526</v>
      </c>
      <c r="C104" s="7" t="s">
        <v>527</v>
      </c>
      <c r="D104" s="7" t="s">
        <v>197</v>
      </c>
      <c r="E104" s="7" t="s">
        <v>528</v>
      </c>
      <c r="F104" s="7">
        <v>1.0</v>
      </c>
      <c r="G104" s="7" t="s">
        <v>529</v>
      </c>
      <c r="H104" s="7" t="s">
        <v>530</v>
      </c>
      <c r="I104" s="7" t="s">
        <v>101</v>
      </c>
      <c r="J104" s="7" t="s">
        <v>61</v>
      </c>
      <c r="K104" s="7" t="s">
        <v>44</v>
      </c>
      <c r="L104" s="7" t="s">
        <v>531</v>
      </c>
      <c r="M104" s="7" t="s">
        <v>54</v>
      </c>
      <c r="N104" s="7" t="s">
        <v>37</v>
      </c>
      <c r="O104" s="7" t="s">
        <v>165</v>
      </c>
      <c r="P104" s="7" t="s">
        <v>532</v>
      </c>
      <c r="R104" s="7" t="s">
        <v>20</v>
      </c>
    </row>
    <row r="105" ht="22.5" customHeight="1">
      <c r="A105" s="6">
        <v>46055.599529583335</v>
      </c>
      <c r="B105" s="7" t="s">
        <v>533</v>
      </c>
      <c r="C105" s="7" t="s">
        <v>534</v>
      </c>
      <c r="D105" s="7">
        <v>30.0</v>
      </c>
      <c r="E105" s="7">
        <v>9.30917813E8</v>
      </c>
      <c r="F105" s="7">
        <v>1.0</v>
      </c>
      <c r="G105" s="7" t="s">
        <v>535</v>
      </c>
      <c r="H105" s="7" t="s">
        <v>44</v>
      </c>
      <c r="I105" s="7" t="s">
        <v>44</v>
      </c>
      <c r="J105" s="7" t="s">
        <v>33</v>
      </c>
      <c r="K105" s="7" t="s">
        <v>536</v>
      </c>
      <c r="L105" s="7" t="s">
        <v>44</v>
      </c>
      <c r="M105" s="7" t="s">
        <v>181</v>
      </c>
      <c r="N105" s="7" t="s">
        <v>37</v>
      </c>
      <c r="O105" s="7" t="s">
        <v>38</v>
      </c>
      <c r="P105" s="7" t="s">
        <v>537</v>
      </c>
      <c r="R105" s="7" t="s">
        <v>515</v>
      </c>
    </row>
    <row r="106" ht="22.5" customHeight="1">
      <c r="A106" s="6">
        <v>46055.939385254635</v>
      </c>
      <c r="B106" s="7" t="s">
        <v>526</v>
      </c>
      <c r="C106" s="7" t="s">
        <v>538</v>
      </c>
      <c r="D106" s="7" t="s">
        <v>32</v>
      </c>
      <c r="E106" s="7" t="s">
        <v>32</v>
      </c>
      <c r="F106" s="7">
        <v>1.0</v>
      </c>
      <c r="G106" s="7" t="s">
        <v>539</v>
      </c>
      <c r="H106" s="7" t="s">
        <v>44</v>
      </c>
      <c r="I106" s="7" t="s">
        <v>44</v>
      </c>
      <c r="J106" s="7" t="s">
        <v>33</v>
      </c>
      <c r="K106" s="7" t="s">
        <v>540</v>
      </c>
      <c r="L106" s="7" t="s">
        <v>540</v>
      </c>
      <c r="M106" s="7" t="s">
        <v>36</v>
      </c>
      <c r="N106" s="7" t="s">
        <v>37</v>
      </c>
      <c r="O106" s="7" t="s">
        <v>38</v>
      </c>
      <c r="P106" s="7" t="s">
        <v>32</v>
      </c>
      <c r="R106" s="7" t="s">
        <v>20</v>
      </c>
    </row>
    <row r="107" ht="22.5" customHeight="1">
      <c r="A107" s="6">
        <v>46058.69166391203</v>
      </c>
      <c r="B107" s="7" t="s">
        <v>541</v>
      </c>
      <c r="C107" s="7" t="s">
        <v>542</v>
      </c>
      <c r="D107" s="7">
        <v>40.0</v>
      </c>
      <c r="E107" s="7">
        <v>9.99389331E8</v>
      </c>
      <c r="F107" s="7">
        <v>1.0</v>
      </c>
      <c r="G107" s="7" t="s">
        <v>543</v>
      </c>
      <c r="H107" s="7" t="s">
        <v>44</v>
      </c>
      <c r="I107" s="7" t="s">
        <v>544</v>
      </c>
      <c r="J107" s="7" t="s">
        <v>26</v>
      </c>
      <c r="K107" s="7" t="s">
        <v>44</v>
      </c>
      <c r="L107" s="7" t="s">
        <v>44</v>
      </c>
      <c r="M107" s="7" t="s">
        <v>54</v>
      </c>
      <c r="N107" s="7" t="s">
        <v>37</v>
      </c>
      <c r="O107" s="7" t="s">
        <v>38</v>
      </c>
      <c r="P107" s="7" t="s">
        <v>545</v>
      </c>
      <c r="R107" s="7" t="s">
        <v>20</v>
      </c>
    </row>
    <row r="108" ht="22.5" customHeight="1">
      <c r="A108" s="6">
        <v>46059.63760405093</v>
      </c>
      <c r="B108" s="7" t="s">
        <v>546</v>
      </c>
      <c r="C108" s="7" t="s">
        <v>547</v>
      </c>
      <c r="D108" s="7">
        <v>30.0</v>
      </c>
      <c r="E108" s="7" t="s">
        <v>548</v>
      </c>
      <c r="F108" s="7">
        <v>1.0</v>
      </c>
      <c r="G108" s="7" t="s">
        <v>549</v>
      </c>
      <c r="H108" s="7" t="s">
        <v>550</v>
      </c>
      <c r="I108" s="10" t="s">
        <v>551</v>
      </c>
      <c r="J108" s="7" t="s">
        <v>61</v>
      </c>
      <c r="K108" s="7" t="s">
        <v>490</v>
      </c>
      <c r="L108" s="7" t="s">
        <v>552</v>
      </c>
      <c r="M108" s="7" t="s">
        <v>36</v>
      </c>
      <c r="N108" s="7" t="s">
        <v>470</v>
      </c>
      <c r="O108" s="7" t="s">
        <v>38</v>
      </c>
      <c r="P108" s="7" t="s">
        <v>44</v>
      </c>
      <c r="R108" s="7" t="s">
        <v>515</v>
      </c>
    </row>
    <row r="109" ht="22.5" customHeight="1">
      <c r="A109" s="6">
        <v>46060.46922587963</v>
      </c>
      <c r="B109" s="7" t="s">
        <v>553</v>
      </c>
      <c r="C109" s="7" t="s">
        <v>554</v>
      </c>
      <c r="D109" s="7">
        <v>36.0</v>
      </c>
      <c r="E109" s="7">
        <v>9.48044943E8</v>
      </c>
      <c r="F109" s="7">
        <v>2.0</v>
      </c>
      <c r="G109" s="7" t="s">
        <v>157</v>
      </c>
      <c r="H109" s="7" t="s">
        <v>124</v>
      </c>
      <c r="I109" s="7" t="s">
        <v>44</v>
      </c>
      <c r="J109" s="7" t="s">
        <v>61</v>
      </c>
      <c r="K109" s="7" t="s">
        <v>555</v>
      </c>
      <c r="L109" s="7" t="s">
        <v>556</v>
      </c>
      <c r="M109" s="7" t="s">
        <v>108</v>
      </c>
      <c r="N109" s="7" t="s">
        <v>37</v>
      </c>
      <c r="O109" s="7" t="s">
        <v>38</v>
      </c>
      <c r="P109" s="7" t="s">
        <v>138</v>
      </c>
      <c r="R109" s="7" t="s">
        <v>20</v>
      </c>
    </row>
    <row r="110" ht="22.5" customHeight="1">
      <c r="A110" s="6">
        <v>46060.857156157406</v>
      </c>
      <c r="B110" s="7" t="s">
        <v>557</v>
      </c>
      <c r="C110" s="7" t="s">
        <v>558</v>
      </c>
      <c r="D110" s="7">
        <v>39.0</v>
      </c>
      <c r="E110" s="7">
        <v>9.26438148E8</v>
      </c>
      <c r="F110" s="7">
        <v>1.0</v>
      </c>
      <c r="G110" s="7" t="s">
        <v>157</v>
      </c>
      <c r="H110" s="7" t="s">
        <v>559</v>
      </c>
      <c r="I110" s="7">
        <v>0.0</v>
      </c>
      <c r="J110" s="7" t="s">
        <v>61</v>
      </c>
      <c r="K110" s="7">
        <v>0.0</v>
      </c>
      <c r="L110" s="7" t="s">
        <v>560</v>
      </c>
      <c r="M110" s="7" t="s">
        <v>36</v>
      </c>
      <c r="N110" s="7" t="s">
        <v>561</v>
      </c>
      <c r="O110" s="7" t="s">
        <v>165</v>
      </c>
      <c r="P110" s="7">
        <v>0.0</v>
      </c>
      <c r="R110" s="7" t="s">
        <v>20</v>
      </c>
    </row>
    <row r="111" ht="22.5" customHeight="1">
      <c r="A111" s="6">
        <v>46062.768441712964</v>
      </c>
      <c r="B111" s="7" t="s">
        <v>562</v>
      </c>
      <c r="C111" s="7" t="s">
        <v>563</v>
      </c>
      <c r="D111" s="7">
        <v>35.0</v>
      </c>
      <c r="E111" s="7">
        <v>9.58655619E8</v>
      </c>
      <c r="F111" s="7">
        <v>2.0</v>
      </c>
      <c r="G111" s="7" t="s">
        <v>564</v>
      </c>
      <c r="H111" s="7" t="s">
        <v>565</v>
      </c>
      <c r="I111" s="7" t="s">
        <v>44</v>
      </c>
      <c r="J111" s="7" t="s">
        <v>33</v>
      </c>
      <c r="K111" s="7" t="s">
        <v>566</v>
      </c>
      <c r="L111" s="7" t="s">
        <v>44</v>
      </c>
      <c r="M111" s="7" t="s">
        <v>108</v>
      </c>
      <c r="N111" s="7" t="s">
        <v>37</v>
      </c>
      <c r="O111" s="7" t="s">
        <v>38</v>
      </c>
      <c r="P111" s="7" t="s">
        <v>567</v>
      </c>
      <c r="R111" s="7" t="s">
        <v>515</v>
      </c>
    </row>
    <row r="112" ht="22.5" customHeight="1">
      <c r="A112" s="6">
        <v>46063.50733141204</v>
      </c>
      <c r="B112" s="7" t="s">
        <v>568</v>
      </c>
      <c r="C112" s="7" t="s">
        <v>569</v>
      </c>
      <c r="D112" s="7">
        <v>40.0</v>
      </c>
      <c r="E112" s="7">
        <v>9.77244378E8</v>
      </c>
      <c r="F112" s="7">
        <v>1.0</v>
      </c>
      <c r="G112" s="7" t="s">
        <v>105</v>
      </c>
      <c r="H112" s="7" t="s">
        <v>119</v>
      </c>
      <c r="I112" s="7" t="s">
        <v>490</v>
      </c>
      <c r="J112" s="7" t="s">
        <v>61</v>
      </c>
      <c r="K112" s="7" t="s">
        <v>490</v>
      </c>
      <c r="L112" s="7" t="s">
        <v>570</v>
      </c>
      <c r="M112" s="7" t="s">
        <v>36</v>
      </c>
      <c r="N112" s="7" t="s">
        <v>37</v>
      </c>
      <c r="O112" s="7" t="s">
        <v>165</v>
      </c>
      <c r="P112" s="7" t="s">
        <v>571</v>
      </c>
      <c r="R112" s="7" t="s">
        <v>20</v>
      </c>
    </row>
    <row r="113" ht="22.5" customHeight="1">
      <c r="A113" s="6">
        <v>46064.870556574075</v>
      </c>
      <c r="B113" s="7" t="s">
        <v>572</v>
      </c>
      <c r="C113" s="7" t="s">
        <v>573</v>
      </c>
      <c r="D113" s="7">
        <v>46.0</v>
      </c>
      <c r="E113" s="7">
        <v>9.48297129E8</v>
      </c>
      <c r="F113" s="7">
        <v>1.0</v>
      </c>
      <c r="G113" s="7" t="s">
        <v>574</v>
      </c>
      <c r="H113" s="7" t="s">
        <v>575</v>
      </c>
      <c r="I113" s="7" t="s">
        <v>576</v>
      </c>
      <c r="J113" s="7" t="s">
        <v>33</v>
      </c>
      <c r="K113" s="7" t="s">
        <v>577</v>
      </c>
      <c r="L113" s="7" t="s">
        <v>67</v>
      </c>
      <c r="M113" s="7" t="s">
        <v>36</v>
      </c>
      <c r="N113" s="7" t="s">
        <v>578</v>
      </c>
      <c r="O113" s="7" t="s">
        <v>38</v>
      </c>
      <c r="P113" s="7" t="s">
        <v>579</v>
      </c>
      <c r="R113" s="7" t="s">
        <v>20</v>
      </c>
    </row>
    <row r="114" ht="22.5" customHeight="1">
      <c r="A114" s="6">
        <v>46065.984178935185</v>
      </c>
      <c r="B114" s="7" t="s">
        <v>182</v>
      </c>
      <c r="C114" s="7" t="s">
        <v>580</v>
      </c>
      <c r="D114" s="7" t="s">
        <v>98</v>
      </c>
      <c r="E114" s="7">
        <v>1.0</v>
      </c>
      <c r="F114" s="7">
        <v>1.0</v>
      </c>
      <c r="G114" s="7" t="s">
        <v>581</v>
      </c>
      <c r="H114" s="7" t="s">
        <v>25</v>
      </c>
      <c r="I114" s="7" t="s">
        <v>25</v>
      </c>
      <c r="J114" s="7" t="s">
        <v>26</v>
      </c>
      <c r="K114" s="7" t="s">
        <v>25</v>
      </c>
      <c r="L114" s="7" t="s">
        <v>25</v>
      </c>
      <c r="M114" s="7" t="s">
        <v>36</v>
      </c>
      <c r="N114" s="7" t="s">
        <v>37</v>
      </c>
      <c r="O114" s="7" t="s">
        <v>27</v>
      </c>
      <c r="P114" s="7" t="s">
        <v>25</v>
      </c>
      <c r="R114" s="7" t="s">
        <v>20</v>
      </c>
    </row>
    <row r="115" ht="22.5" customHeight="1">
      <c r="A115" s="6">
        <v>46067.91058885417</v>
      </c>
      <c r="B115" s="7" t="s">
        <v>582</v>
      </c>
      <c r="C115" s="7" t="s">
        <v>583</v>
      </c>
      <c r="D115" s="7">
        <v>32.0</v>
      </c>
      <c r="E115" s="7">
        <v>9.97869024E8</v>
      </c>
      <c r="F115" s="7">
        <v>1.0</v>
      </c>
      <c r="G115" s="7" t="s">
        <v>157</v>
      </c>
      <c r="H115" s="7" t="s">
        <v>584</v>
      </c>
      <c r="I115" s="7" t="s">
        <v>585</v>
      </c>
      <c r="J115" s="7" t="s">
        <v>61</v>
      </c>
      <c r="K115" s="7" t="s">
        <v>586</v>
      </c>
      <c r="L115" s="7" t="s">
        <v>587</v>
      </c>
      <c r="M115" s="7" t="s">
        <v>36</v>
      </c>
      <c r="N115" s="7" t="s">
        <v>588</v>
      </c>
      <c r="O115" s="7" t="s">
        <v>165</v>
      </c>
      <c r="P115" s="7" t="s">
        <v>589</v>
      </c>
      <c r="R115" s="7" t="s">
        <v>20</v>
      </c>
    </row>
    <row r="116" ht="22.5" customHeight="1">
      <c r="A116" s="6">
        <v>46071.82546137732</v>
      </c>
      <c r="B116" s="7" t="s">
        <v>590</v>
      </c>
      <c r="C116" s="7" t="s">
        <v>591</v>
      </c>
      <c r="D116" s="7">
        <v>39.0</v>
      </c>
      <c r="E116" s="7">
        <v>9.47292985E8</v>
      </c>
      <c r="F116" s="7">
        <v>1.0</v>
      </c>
      <c r="G116" s="7" t="s">
        <v>592</v>
      </c>
      <c r="H116" s="7" t="s">
        <v>124</v>
      </c>
      <c r="I116" s="7" t="s">
        <v>44</v>
      </c>
      <c r="J116" s="7" t="s">
        <v>33</v>
      </c>
      <c r="K116" s="7" t="s">
        <v>593</v>
      </c>
      <c r="L116" s="7" t="s">
        <v>44</v>
      </c>
      <c r="M116" s="7" t="s">
        <v>108</v>
      </c>
      <c r="N116" s="7" t="s">
        <v>37</v>
      </c>
      <c r="O116" s="7" t="s">
        <v>38</v>
      </c>
      <c r="P116" s="7" t="s">
        <v>594</v>
      </c>
      <c r="R116" s="7" t="s">
        <v>595</v>
      </c>
    </row>
    <row r="117" ht="22.5" customHeight="1">
      <c r="A117" s="6">
        <v>46075.88617890046</v>
      </c>
      <c r="B117" s="7" t="s">
        <v>596</v>
      </c>
      <c r="C117" s="7" t="s">
        <v>597</v>
      </c>
      <c r="D117" s="7">
        <v>19.0</v>
      </c>
      <c r="E117" s="7">
        <v>9.47035549E8</v>
      </c>
      <c r="F117" s="7">
        <v>1.0</v>
      </c>
      <c r="G117" s="7" t="s">
        <v>598</v>
      </c>
      <c r="H117" s="7" t="s">
        <v>51</v>
      </c>
      <c r="I117" s="7" t="s">
        <v>44</v>
      </c>
      <c r="J117" s="7" t="s">
        <v>61</v>
      </c>
      <c r="K117" s="7" t="s">
        <v>44</v>
      </c>
      <c r="L117" s="7" t="s">
        <v>599</v>
      </c>
      <c r="M117" s="7" t="s">
        <v>36</v>
      </c>
      <c r="N117" s="7" t="s">
        <v>37</v>
      </c>
      <c r="O117" s="7" t="s">
        <v>38</v>
      </c>
      <c r="P117" s="7" t="s">
        <v>600</v>
      </c>
      <c r="R117" s="7" t="s">
        <v>20</v>
      </c>
    </row>
    <row r="118" ht="22.5" customHeight="1">
      <c r="A118" s="6">
        <v>46075.92367549769</v>
      </c>
      <c r="B118" s="7" t="s">
        <v>596</v>
      </c>
      <c r="C118" s="7" t="s">
        <v>597</v>
      </c>
      <c r="D118" s="7">
        <v>19.0</v>
      </c>
      <c r="E118" s="7">
        <v>9.47035549E8</v>
      </c>
      <c r="F118" s="7">
        <v>1.0</v>
      </c>
      <c r="G118" s="7" t="s">
        <v>601</v>
      </c>
      <c r="H118" s="7" t="s">
        <v>124</v>
      </c>
      <c r="I118" s="7" t="s">
        <v>44</v>
      </c>
      <c r="J118" s="7" t="s">
        <v>61</v>
      </c>
      <c r="K118" s="7" t="s">
        <v>44</v>
      </c>
      <c r="L118" s="7" t="s">
        <v>599</v>
      </c>
      <c r="M118" s="7" t="s">
        <v>36</v>
      </c>
      <c r="N118" s="7" t="s">
        <v>37</v>
      </c>
      <c r="O118" s="7" t="s">
        <v>38</v>
      </c>
      <c r="P118" s="7" t="s">
        <v>602</v>
      </c>
      <c r="R118" s="7" t="s">
        <v>20</v>
      </c>
    </row>
    <row r="119" ht="22.5" customHeight="1">
      <c r="A119" s="6">
        <v>46077.93813628472</v>
      </c>
      <c r="B119" s="7" t="s">
        <v>603</v>
      </c>
      <c r="C119" s="7" t="s">
        <v>604</v>
      </c>
      <c r="D119" s="7">
        <v>33.0</v>
      </c>
      <c r="E119" s="7">
        <v>9.95280757E8</v>
      </c>
      <c r="F119" s="7">
        <v>1.0</v>
      </c>
      <c r="G119" s="7" t="s">
        <v>31</v>
      </c>
      <c r="H119" s="7" t="s">
        <v>605</v>
      </c>
      <c r="I119" s="7" t="s">
        <v>67</v>
      </c>
      <c r="J119" s="7" t="s">
        <v>33</v>
      </c>
      <c r="K119" s="7" t="s">
        <v>606</v>
      </c>
      <c r="L119" s="7" t="s">
        <v>67</v>
      </c>
      <c r="M119" s="7" t="s">
        <v>147</v>
      </c>
      <c r="N119" s="7" t="s">
        <v>37</v>
      </c>
      <c r="O119" s="7" t="s">
        <v>38</v>
      </c>
      <c r="P119" s="7" t="s">
        <v>607</v>
      </c>
      <c r="R119" s="7" t="s">
        <v>20</v>
      </c>
    </row>
    <row r="120" ht="22.5" customHeight="1">
      <c r="A120" s="6">
        <v>46086.882473136575</v>
      </c>
      <c r="B120" s="7" t="s">
        <v>608</v>
      </c>
      <c r="C120" s="7" t="s">
        <v>609</v>
      </c>
      <c r="D120" s="7">
        <v>27.0</v>
      </c>
      <c r="E120" s="7">
        <v>9.41415318E8</v>
      </c>
      <c r="F120" s="7">
        <v>2.0</v>
      </c>
      <c r="G120" s="7" t="s">
        <v>610</v>
      </c>
      <c r="H120" s="7" t="s">
        <v>611</v>
      </c>
      <c r="I120" s="7" t="s">
        <v>52</v>
      </c>
      <c r="J120" s="7" t="s">
        <v>61</v>
      </c>
      <c r="K120" s="7" t="s">
        <v>44</v>
      </c>
      <c r="L120" s="7" t="s">
        <v>612</v>
      </c>
      <c r="M120" s="7" t="s">
        <v>36</v>
      </c>
      <c r="N120" s="7" t="s">
        <v>613</v>
      </c>
      <c r="O120" s="7" t="s">
        <v>165</v>
      </c>
      <c r="P120" s="7" t="s">
        <v>614</v>
      </c>
      <c r="R120" s="7" t="s">
        <v>515</v>
      </c>
    </row>
    <row r="121" ht="22.5" customHeight="1">
      <c r="A121" s="6">
        <v>46088.48840887731</v>
      </c>
      <c r="B121" s="7" t="s">
        <v>615</v>
      </c>
      <c r="C121" s="7" t="s">
        <v>616</v>
      </c>
      <c r="D121" s="7">
        <v>56.0</v>
      </c>
      <c r="E121" s="7">
        <v>9.62210754E8</v>
      </c>
      <c r="F121" s="7">
        <v>1.0</v>
      </c>
      <c r="G121" s="7" t="s">
        <v>105</v>
      </c>
      <c r="H121" s="7" t="s">
        <v>617</v>
      </c>
      <c r="I121" s="7" t="s">
        <v>44</v>
      </c>
      <c r="J121" s="7" t="s">
        <v>33</v>
      </c>
      <c r="K121" s="7" t="s">
        <v>618</v>
      </c>
      <c r="L121" s="7" t="s">
        <v>44</v>
      </c>
      <c r="M121" s="7" t="s">
        <v>36</v>
      </c>
      <c r="N121" s="7" t="s">
        <v>37</v>
      </c>
      <c r="O121" s="7" t="s">
        <v>165</v>
      </c>
      <c r="P121" s="7" t="s">
        <v>619</v>
      </c>
      <c r="R121" s="7" t="s">
        <v>515</v>
      </c>
    </row>
    <row r="122" ht="22.5" customHeight="1">
      <c r="A122" s="6">
        <v>46090.48949818287</v>
      </c>
      <c r="B122" s="7" t="s">
        <v>620</v>
      </c>
      <c r="C122" s="7" t="s">
        <v>621</v>
      </c>
      <c r="D122" s="7" t="s">
        <v>25</v>
      </c>
      <c r="E122" s="7">
        <v>9.41415318E8</v>
      </c>
      <c r="F122" s="7">
        <v>1.0</v>
      </c>
      <c r="G122" s="7" t="s">
        <v>622</v>
      </c>
      <c r="H122" s="7" t="s">
        <v>611</v>
      </c>
      <c r="I122" s="7" t="s">
        <v>44</v>
      </c>
      <c r="J122" s="7" t="s">
        <v>61</v>
      </c>
      <c r="K122" s="7" t="s">
        <v>623</v>
      </c>
      <c r="L122" s="7" t="s">
        <v>623</v>
      </c>
      <c r="M122" s="7" t="s">
        <v>54</v>
      </c>
      <c r="N122" s="7" t="s">
        <v>37</v>
      </c>
      <c r="P122" s="7" t="s">
        <v>624</v>
      </c>
      <c r="R122" s="7" t="s">
        <v>515</v>
      </c>
    </row>
    <row r="123" ht="22.5" customHeight="1">
      <c r="A123" s="6">
        <v>46090.600622060185</v>
      </c>
      <c r="B123" s="7" t="s">
        <v>620</v>
      </c>
      <c r="C123" s="7" t="s">
        <v>625</v>
      </c>
      <c r="D123" s="10" t="s">
        <v>626</v>
      </c>
      <c r="E123" s="7">
        <v>9.9999999E7</v>
      </c>
      <c r="F123" s="7">
        <v>3.0</v>
      </c>
      <c r="G123" s="7" t="s">
        <v>627</v>
      </c>
      <c r="H123" s="7" t="s">
        <v>101</v>
      </c>
      <c r="I123" s="7" t="s">
        <v>101</v>
      </c>
      <c r="J123" s="7" t="s">
        <v>33</v>
      </c>
      <c r="K123" s="7" t="s">
        <v>98</v>
      </c>
      <c r="L123" s="7" t="s">
        <v>98</v>
      </c>
      <c r="M123" s="7" t="s">
        <v>36</v>
      </c>
      <c r="N123" s="7" t="s">
        <v>37</v>
      </c>
      <c r="O123" s="7" t="s">
        <v>27</v>
      </c>
      <c r="P123" s="7" t="s">
        <v>98</v>
      </c>
      <c r="R123" s="7" t="s">
        <v>20</v>
      </c>
    </row>
    <row r="124" ht="22.5" customHeight="1">
      <c r="A124" s="6">
        <v>46090.6037658912</v>
      </c>
      <c r="B124" s="7" t="s">
        <v>620</v>
      </c>
      <c r="C124" s="7" t="s">
        <v>625</v>
      </c>
      <c r="D124" s="7" t="s">
        <v>98</v>
      </c>
      <c r="E124" s="7">
        <v>999999.0</v>
      </c>
      <c r="F124" s="7">
        <v>6.0</v>
      </c>
      <c r="G124" s="7" t="s">
        <v>628</v>
      </c>
      <c r="H124" s="7" t="s">
        <v>101</v>
      </c>
      <c r="I124" s="7" t="s">
        <v>101</v>
      </c>
      <c r="J124" s="7" t="s">
        <v>33</v>
      </c>
      <c r="K124" s="7" t="s">
        <v>98</v>
      </c>
      <c r="L124" s="7" t="s">
        <v>98</v>
      </c>
      <c r="M124" s="7" t="s">
        <v>36</v>
      </c>
      <c r="N124" s="7" t="s">
        <v>37</v>
      </c>
      <c r="O124" s="7" t="s">
        <v>27</v>
      </c>
      <c r="P124" s="7" t="s">
        <v>98</v>
      </c>
      <c r="R124" s="7" t="s">
        <v>20</v>
      </c>
    </row>
    <row r="125" ht="22.5" customHeight="1">
      <c r="A125" s="6">
        <v>46092.558420960646</v>
      </c>
      <c r="B125" s="7" t="s">
        <v>629</v>
      </c>
      <c r="C125" s="7" t="s">
        <v>630</v>
      </c>
      <c r="D125" s="7">
        <v>34.0</v>
      </c>
      <c r="E125" s="7">
        <v>9.99594084E8</v>
      </c>
      <c r="F125" s="7">
        <v>1.0</v>
      </c>
      <c r="G125" s="7" t="s">
        <v>631</v>
      </c>
      <c r="H125" s="7" t="s">
        <v>66</v>
      </c>
      <c r="I125" s="7" t="s">
        <v>44</v>
      </c>
      <c r="J125" s="7" t="s">
        <v>26</v>
      </c>
      <c r="K125" s="7" t="s">
        <v>67</v>
      </c>
      <c r="L125" s="7" t="s">
        <v>67</v>
      </c>
      <c r="M125" s="7" t="s">
        <v>54</v>
      </c>
      <c r="N125" s="7" t="s">
        <v>37</v>
      </c>
      <c r="O125" s="7" t="s">
        <v>165</v>
      </c>
      <c r="P125" s="7" t="s">
        <v>632</v>
      </c>
      <c r="R125" s="7" t="s">
        <v>515</v>
      </c>
    </row>
    <row r="126" ht="22.5" customHeight="1">
      <c r="A126" s="6">
        <v>46092.94591877315</v>
      </c>
      <c r="B126" s="7" t="s">
        <v>96</v>
      </c>
      <c r="C126" s="7" t="s">
        <v>239</v>
      </c>
      <c r="D126" s="7" t="s">
        <v>197</v>
      </c>
      <c r="E126" s="7">
        <v>9.62320349E8</v>
      </c>
      <c r="F126" s="7">
        <v>1.0</v>
      </c>
      <c r="G126" s="7" t="s">
        <v>32</v>
      </c>
      <c r="H126" s="7" t="s">
        <v>32</v>
      </c>
      <c r="I126" s="7" t="s">
        <v>32</v>
      </c>
      <c r="J126" s="7" t="s">
        <v>26</v>
      </c>
      <c r="K126" s="7" t="s">
        <v>32</v>
      </c>
      <c r="L126" s="7" t="s">
        <v>32</v>
      </c>
      <c r="M126" s="7" t="s">
        <v>32</v>
      </c>
      <c r="N126" s="7" t="s">
        <v>37</v>
      </c>
      <c r="O126" s="7" t="s">
        <v>38</v>
      </c>
      <c r="P126" s="7" t="s">
        <v>633</v>
      </c>
      <c r="R126" s="7" t="s">
        <v>20</v>
      </c>
    </row>
    <row r="127" ht="22.5" customHeight="1">
      <c r="A127" s="6">
        <v>46093.41257476852</v>
      </c>
      <c r="B127" s="7" t="s">
        <v>634</v>
      </c>
      <c r="C127" s="7" t="s">
        <v>635</v>
      </c>
      <c r="D127" s="7">
        <v>55.0</v>
      </c>
      <c r="E127" s="7">
        <v>9.74210816E8</v>
      </c>
      <c r="F127" s="7">
        <v>2.0</v>
      </c>
      <c r="G127" s="7" t="s">
        <v>636</v>
      </c>
      <c r="H127" s="7" t="s">
        <v>637</v>
      </c>
      <c r="I127" s="7" t="s">
        <v>44</v>
      </c>
      <c r="J127" s="7" t="s">
        <v>33</v>
      </c>
      <c r="K127" s="7" t="s">
        <v>638</v>
      </c>
      <c r="L127" s="7" t="s">
        <v>44</v>
      </c>
      <c r="M127" s="7" t="s">
        <v>639</v>
      </c>
      <c r="N127" s="7" t="s">
        <v>640</v>
      </c>
      <c r="O127" s="7" t="s">
        <v>641</v>
      </c>
      <c r="P127" s="7" t="s">
        <v>642</v>
      </c>
      <c r="R127" s="7" t="s">
        <v>595</v>
      </c>
    </row>
    <row r="128" ht="22.5" customHeight="1">
      <c r="A128" s="6">
        <v>46093.56272667824</v>
      </c>
      <c r="B128" s="7" t="s">
        <v>154</v>
      </c>
      <c r="C128" s="7" t="s">
        <v>643</v>
      </c>
      <c r="D128" s="7">
        <v>34.0</v>
      </c>
      <c r="E128" s="7">
        <v>9.94351278E8</v>
      </c>
      <c r="F128" s="7">
        <v>2.0</v>
      </c>
      <c r="G128" s="7" t="s">
        <v>105</v>
      </c>
      <c r="H128" s="7" t="s">
        <v>644</v>
      </c>
      <c r="I128" s="7" t="s">
        <v>44</v>
      </c>
      <c r="J128" s="7" t="s">
        <v>61</v>
      </c>
      <c r="K128" s="7" t="s">
        <v>44</v>
      </c>
      <c r="L128" s="7" t="s">
        <v>645</v>
      </c>
      <c r="M128" s="7" t="s">
        <v>54</v>
      </c>
      <c r="N128" s="7" t="s">
        <v>646</v>
      </c>
      <c r="O128" s="7" t="s">
        <v>165</v>
      </c>
      <c r="P128" s="7" t="s">
        <v>647</v>
      </c>
      <c r="R128" s="7" t="s">
        <v>515</v>
      </c>
    </row>
    <row r="129" ht="22.5" customHeight="1">
      <c r="A129" s="6">
        <v>46093.65607444444</v>
      </c>
      <c r="B129" s="7" t="s">
        <v>648</v>
      </c>
      <c r="C129" s="7" t="s">
        <v>643</v>
      </c>
      <c r="D129" s="7" t="s">
        <v>98</v>
      </c>
      <c r="E129" s="7">
        <v>9.94351278E8</v>
      </c>
      <c r="F129" s="7">
        <v>1.0</v>
      </c>
      <c r="G129" s="7" t="s">
        <v>649</v>
      </c>
      <c r="H129" s="7" t="s">
        <v>44</v>
      </c>
      <c r="I129" s="7" t="s">
        <v>44</v>
      </c>
      <c r="J129" s="7" t="s">
        <v>61</v>
      </c>
      <c r="K129" s="7" t="s">
        <v>98</v>
      </c>
      <c r="L129" s="7" t="s">
        <v>650</v>
      </c>
      <c r="M129" s="7" t="s">
        <v>54</v>
      </c>
      <c r="N129" s="7" t="s">
        <v>37</v>
      </c>
      <c r="P129" s="7" t="s">
        <v>651</v>
      </c>
      <c r="R129" s="7" t="s">
        <v>515</v>
      </c>
    </row>
    <row r="130" ht="22.5" customHeight="1">
      <c r="A130" s="6">
        <v>46093.86360265047</v>
      </c>
      <c r="B130" s="7" t="s">
        <v>652</v>
      </c>
      <c r="C130" s="7" t="s">
        <v>653</v>
      </c>
      <c r="D130" s="7">
        <v>30.0</v>
      </c>
      <c r="E130" s="7">
        <v>9.61585845E8</v>
      </c>
      <c r="F130" s="7">
        <v>1.0</v>
      </c>
      <c r="G130" s="7" t="s">
        <v>31</v>
      </c>
      <c r="H130" s="7" t="s">
        <v>654</v>
      </c>
      <c r="I130" s="7" t="s">
        <v>655</v>
      </c>
      <c r="J130" s="7" t="s">
        <v>61</v>
      </c>
      <c r="K130" s="7" t="s">
        <v>46</v>
      </c>
      <c r="L130" s="7" t="s">
        <v>656</v>
      </c>
      <c r="M130" s="7" t="s">
        <v>36</v>
      </c>
      <c r="N130" s="7" t="s">
        <v>657</v>
      </c>
      <c r="O130" s="7" t="s">
        <v>27</v>
      </c>
      <c r="P130" s="7" t="s">
        <v>658</v>
      </c>
      <c r="R130" s="7" t="s">
        <v>595</v>
      </c>
    </row>
    <row r="131" ht="22.5" customHeight="1">
      <c r="A131" s="6">
        <v>46093.91347318287</v>
      </c>
      <c r="B131" s="7" t="s">
        <v>659</v>
      </c>
      <c r="C131" s="7" t="s">
        <v>660</v>
      </c>
      <c r="D131" s="7">
        <v>35.0</v>
      </c>
      <c r="E131" s="7">
        <v>9.74210816E8</v>
      </c>
      <c r="F131" s="7">
        <v>1.0</v>
      </c>
      <c r="G131" s="7" t="s">
        <v>661</v>
      </c>
      <c r="H131" s="7" t="s">
        <v>44</v>
      </c>
      <c r="I131" s="7" t="s">
        <v>44</v>
      </c>
      <c r="J131" s="7" t="s">
        <v>33</v>
      </c>
      <c r="K131" s="7" t="s">
        <v>662</v>
      </c>
      <c r="L131" s="7" t="s">
        <v>44</v>
      </c>
      <c r="M131" s="7" t="s">
        <v>36</v>
      </c>
      <c r="N131" s="7" t="s">
        <v>37</v>
      </c>
      <c r="O131" s="7" t="s">
        <v>38</v>
      </c>
      <c r="P131" s="7" t="s">
        <v>138</v>
      </c>
      <c r="R131" s="7" t="s">
        <v>595</v>
      </c>
    </row>
    <row r="132" ht="22.5" customHeight="1">
      <c r="A132" s="6">
        <v>46098.38503020833</v>
      </c>
      <c r="B132" s="7" t="s">
        <v>19</v>
      </c>
      <c r="C132" s="7" t="s">
        <v>663</v>
      </c>
      <c r="D132" s="7" t="s">
        <v>25</v>
      </c>
      <c r="E132" s="7" t="s">
        <v>25</v>
      </c>
      <c r="F132" s="7">
        <v>1.0</v>
      </c>
      <c r="G132" s="7" t="s">
        <v>664</v>
      </c>
      <c r="H132" s="7" t="s">
        <v>25</v>
      </c>
      <c r="I132" s="7" t="s">
        <v>25</v>
      </c>
      <c r="J132" s="7" t="s">
        <v>26</v>
      </c>
      <c r="K132" s="7" t="s">
        <v>25</v>
      </c>
      <c r="L132" s="7" t="s">
        <v>25</v>
      </c>
      <c r="M132" s="7" t="s">
        <v>36</v>
      </c>
      <c r="N132" s="7" t="s">
        <v>37</v>
      </c>
      <c r="O132" s="7" t="s">
        <v>38</v>
      </c>
      <c r="P132" s="7" t="s">
        <v>25</v>
      </c>
      <c r="R132" s="7" t="s">
        <v>20</v>
      </c>
    </row>
    <row r="133" ht="22.5" customHeight="1">
      <c r="A133" s="6">
        <v>46098.58898648148</v>
      </c>
      <c r="B133" s="7" t="s">
        <v>665</v>
      </c>
      <c r="C133" s="7" t="s">
        <v>666</v>
      </c>
      <c r="D133" s="7">
        <v>40.0</v>
      </c>
      <c r="E133" s="7">
        <v>9.8271603E8</v>
      </c>
      <c r="F133" s="7">
        <v>1.0</v>
      </c>
      <c r="G133" s="7" t="s">
        <v>65</v>
      </c>
      <c r="H133" s="7" t="s">
        <v>667</v>
      </c>
      <c r="I133" s="7" t="s">
        <v>44</v>
      </c>
      <c r="J133" s="7" t="s">
        <v>33</v>
      </c>
      <c r="K133" s="7" t="s">
        <v>668</v>
      </c>
      <c r="L133" s="7" t="s">
        <v>46</v>
      </c>
      <c r="M133" s="7" t="s">
        <v>36</v>
      </c>
      <c r="N133" s="7" t="s">
        <v>37</v>
      </c>
      <c r="O133" s="7" t="s">
        <v>165</v>
      </c>
      <c r="P133" s="7" t="s">
        <v>669</v>
      </c>
      <c r="R133" s="7" t="s">
        <v>515</v>
      </c>
    </row>
    <row r="134" ht="22.5" customHeight="1">
      <c r="A134" s="6">
        <v>46101.61649043982</v>
      </c>
      <c r="B134" s="7" t="s">
        <v>670</v>
      </c>
      <c r="C134" s="7" t="s">
        <v>671</v>
      </c>
      <c r="D134" s="7">
        <v>51.0</v>
      </c>
      <c r="E134" s="7">
        <v>9.59566994E8</v>
      </c>
      <c r="F134" s="10" t="s">
        <v>228</v>
      </c>
      <c r="G134" s="7" t="s">
        <v>672</v>
      </c>
      <c r="H134" s="7" t="s">
        <v>673</v>
      </c>
      <c r="I134" s="7" t="s">
        <v>674</v>
      </c>
      <c r="J134" s="7" t="s">
        <v>61</v>
      </c>
      <c r="K134" s="7" t="s">
        <v>101</v>
      </c>
      <c r="L134" s="7" t="s">
        <v>675</v>
      </c>
      <c r="M134" s="7" t="s">
        <v>36</v>
      </c>
      <c r="N134" s="7" t="s">
        <v>676</v>
      </c>
      <c r="O134" s="7" t="s">
        <v>165</v>
      </c>
      <c r="P134" s="7" t="s">
        <v>677</v>
      </c>
      <c r="R134" s="7" t="s">
        <v>515</v>
      </c>
    </row>
    <row r="135" ht="22.5" customHeight="1">
      <c r="A135" s="6">
        <v>46105.614229108796</v>
      </c>
      <c r="B135" s="7" t="s">
        <v>678</v>
      </c>
      <c r="C135" s="7" t="s">
        <v>679</v>
      </c>
      <c r="D135" s="7" t="s">
        <v>680</v>
      </c>
      <c r="E135" s="7">
        <v>9.99973405E8</v>
      </c>
      <c r="F135" s="7">
        <v>1.0</v>
      </c>
      <c r="G135" s="7" t="s">
        <v>681</v>
      </c>
      <c r="H135" s="7" t="s">
        <v>682</v>
      </c>
      <c r="I135" s="7" t="s">
        <v>101</v>
      </c>
      <c r="J135" s="7" t="s">
        <v>33</v>
      </c>
      <c r="K135" s="7" t="s">
        <v>683</v>
      </c>
      <c r="L135" s="7" t="s">
        <v>46</v>
      </c>
      <c r="M135" s="7" t="s">
        <v>36</v>
      </c>
      <c r="N135" s="7" t="s">
        <v>684</v>
      </c>
      <c r="O135" s="7" t="s">
        <v>38</v>
      </c>
      <c r="P135" s="7" t="s">
        <v>685</v>
      </c>
      <c r="R135" s="7" t="s">
        <v>595</v>
      </c>
    </row>
    <row r="136" ht="22.5" customHeight="1">
      <c r="A136" s="6">
        <v>46107.66837269676</v>
      </c>
      <c r="B136" s="7" t="s">
        <v>686</v>
      </c>
      <c r="C136" s="7" t="s">
        <v>687</v>
      </c>
      <c r="D136" s="7">
        <v>39.0</v>
      </c>
      <c r="E136" s="7">
        <v>9.67641555E8</v>
      </c>
      <c r="F136" s="7">
        <v>1.0</v>
      </c>
      <c r="G136" s="7" t="s">
        <v>688</v>
      </c>
      <c r="H136" s="7" t="s">
        <v>689</v>
      </c>
      <c r="I136" s="7" t="s">
        <v>44</v>
      </c>
      <c r="J136" s="7" t="s">
        <v>61</v>
      </c>
      <c r="K136" s="7" t="s">
        <v>67</v>
      </c>
      <c r="L136" s="7" t="s">
        <v>690</v>
      </c>
      <c r="M136" s="7" t="s">
        <v>36</v>
      </c>
      <c r="N136" s="7" t="s">
        <v>691</v>
      </c>
      <c r="O136" s="7" t="s">
        <v>38</v>
      </c>
      <c r="P136" s="7" t="s">
        <v>692</v>
      </c>
      <c r="R136" s="7" t="s">
        <v>515</v>
      </c>
    </row>
    <row r="137" ht="22.5" customHeight="1">
      <c r="A137" s="6">
        <v>46113.64990096065</v>
      </c>
      <c r="B137" s="7" t="s">
        <v>693</v>
      </c>
      <c r="C137" s="7" t="s">
        <v>694</v>
      </c>
      <c r="D137" s="7">
        <v>37.0</v>
      </c>
      <c r="E137" s="7">
        <v>9.5801352E8</v>
      </c>
      <c r="F137" s="7" t="s">
        <v>695</v>
      </c>
      <c r="G137" s="7" t="s">
        <v>696</v>
      </c>
      <c r="H137" s="7" t="s">
        <v>697</v>
      </c>
      <c r="I137" s="7" t="s">
        <v>698</v>
      </c>
      <c r="J137" s="7" t="s">
        <v>33</v>
      </c>
      <c r="K137" s="7" t="s">
        <v>699</v>
      </c>
      <c r="L137" s="7" t="s">
        <v>700</v>
      </c>
      <c r="M137" s="7" t="s">
        <v>54</v>
      </c>
      <c r="N137" s="7" t="s">
        <v>37</v>
      </c>
      <c r="O137" s="7" t="s">
        <v>38</v>
      </c>
      <c r="P137" s="7" t="s">
        <v>701</v>
      </c>
      <c r="R137" s="7" t="s">
        <v>20</v>
      </c>
    </row>
    <row r="138" ht="22.5" customHeight="1">
      <c r="A138" s="6">
        <v>46116.41185362269</v>
      </c>
      <c r="B138" s="7" t="s">
        <v>702</v>
      </c>
      <c r="C138" s="7" t="s">
        <v>703</v>
      </c>
      <c r="D138" s="7">
        <v>53.0</v>
      </c>
      <c r="E138" s="7">
        <v>9.95022901E8</v>
      </c>
      <c r="F138" s="7">
        <v>1.0</v>
      </c>
      <c r="G138" s="7" t="s">
        <v>704</v>
      </c>
      <c r="H138" s="7" t="s">
        <v>705</v>
      </c>
      <c r="I138" s="7" t="s">
        <v>44</v>
      </c>
      <c r="J138" s="7" t="s">
        <v>33</v>
      </c>
      <c r="K138" s="7" t="s">
        <v>706</v>
      </c>
      <c r="L138" s="7" t="s">
        <v>707</v>
      </c>
      <c r="M138" s="7" t="s">
        <v>36</v>
      </c>
      <c r="N138" s="7" t="s">
        <v>37</v>
      </c>
      <c r="O138" s="7" t="s">
        <v>165</v>
      </c>
      <c r="P138" s="7" t="s">
        <v>708</v>
      </c>
      <c r="R138" s="7" t="s">
        <v>515</v>
      </c>
    </row>
    <row r="139" ht="22.5" customHeight="1">
      <c r="A139" s="6">
        <v>46117.73297557871</v>
      </c>
      <c r="B139" s="7" t="s">
        <v>709</v>
      </c>
      <c r="C139" s="7" t="s">
        <v>710</v>
      </c>
      <c r="D139" s="7">
        <v>30.0</v>
      </c>
      <c r="E139" s="7">
        <v>9.32023799E8</v>
      </c>
      <c r="F139" s="7">
        <v>2.0</v>
      </c>
      <c r="G139" s="7" t="s">
        <v>711</v>
      </c>
      <c r="H139" s="7" t="s">
        <v>585</v>
      </c>
      <c r="I139" s="7" t="s">
        <v>712</v>
      </c>
      <c r="J139" s="7" t="s">
        <v>61</v>
      </c>
      <c r="K139" s="7" t="s">
        <v>713</v>
      </c>
      <c r="L139" s="7" t="s">
        <v>714</v>
      </c>
      <c r="M139" s="7" t="s">
        <v>108</v>
      </c>
      <c r="N139" s="7" t="s">
        <v>37</v>
      </c>
      <c r="O139" s="7" t="s">
        <v>165</v>
      </c>
      <c r="P139" s="7" t="s">
        <v>715</v>
      </c>
      <c r="R139" s="7" t="s">
        <v>595</v>
      </c>
    </row>
    <row r="140" ht="22.5" customHeight="1">
      <c r="A140" s="6">
        <v>46117.833384178244</v>
      </c>
      <c r="B140" s="7" t="s">
        <v>716</v>
      </c>
      <c r="C140" s="7" t="s">
        <v>717</v>
      </c>
      <c r="D140" s="7">
        <v>33.0</v>
      </c>
      <c r="E140" s="7">
        <v>9.0124836E8</v>
      </c>
      <c r="F140" s="7">
        <v>1.0</v>
      </c>
      <c r="G140" s="7" t="s">
        <v>718</v>
      </c>
      <c r="H140" s="7" t="s">
        <v>719</v>
      </c>
      <c r="I140" s="7" t="s">
        <v>44</v>
      </c>
      <c r="J140" s="7" t="s">
        <v>61</v>
      </c>
      <c r="K140" s="7" t="s">
        <v>720</v>
      </c>
      <c r="L140" s="7" t="s">
        <v>721</v>
      </c>
      <c r="M140" s="7" t="s">
        <v>36</v>
      </c>
      <c r="N140" s="7" t="s">
        <v>722</v>
      </c>
      <c r="O140" s="7" t="s">
        <v>38</v>
      </c>
      <c r="P140" s="7" t="s">
        <v>723</v>
      </c>
      <c r="R140" s="7" t="s">
        <v>20</v>
      </c>
    </row>
    <row r="141" ht="22.5" customHeight="1">
      <c r="A141" s="6">
        <v>46121.77767717592</v>
      </c>
      <c r="B141" s="7" t="s">
        <v>724</v>
      </c>
      <c r="C141" s="7" t="s">
        <v>725</v>
      </c>
      <c r="D141" s="7">
        <v>58.0</v>
      </c>
      <c r="E141" s="7">
        <v>9.37257034E8</v>
      </c>
      <c r="F141" s="7">
        <v>1.0</v>
      </c>
      <c r="G141" s="7" t="s">
        <v>726</v>
      </c>
      <c r="H141" s="7" t="s">
        <v>124</v>
      </c>
      <c r="I141" s="7" t="s">
        <v>44</v>
      </c>
      <c r="J141" s="7" t="s">
        <v>61</v>
      </c>
      <c r="K141" s="7" t="s">
        <v>44</v>
      </c>
      <c r="L141" s="7" t="s">
        <v>727</v>
      </c>
      <c r="M141" s="7" t="s">
        <v>36</v>
      </c>
      <c r="N141" s="7" t="s">
        <v>37</v>
      </c>
      <c r="O141" s="7" t="s">
        <v>38</v>
      </c>
      <c r="P141" s="7" t="s">
        <v>728</v>
      </c>
      <c r="R141" s="7" t="s">
        <v>515</v>
      </c>
    </row>
    <row r="142" ht="22.5" customHeight="1">
      <c r="A142" s="6">
        <v>46125.77523767361</v>
      </c>
      <c r="B142" s="7" t="s">
        <v>729</v>
      </c>
      <c r="C142" s="7" t="s">
        <v>730</v>
      </c>
      <c r="D142" s="7">
        <v>63.0</v>
      </c>
      <c r="E142" s="7">
        <v>9.55417868E8</v>
      </c>
      <c r="F142" s="7">
        <v>1.0</v>
      </c>
      <c r="G142" s="7" t="s">
        <v>731</v>
      </c>
      <c r="H142" s="7" t="s">
        <v>124</v>
      </c>
      <c r="I142" s="7" t="s">
        <v>44</v>
      </c>
      <c r="J142" s="7" t="s">
        <v>33</v>
      </c>
      <c r="K142" s="7" t="s">
        <v>732</v>
      </c>
      <c r="L142" s="7" t="s">
        <v>44</v>
      </c>
      <c r="M142" s="7" t="s">
        <v>108</v>
      </c>
      <c r="N142" s="7" t="s">
        <v>37</v>
      </c>
      <c r="O142" s="7" t="s">
        <v>38</v>
      </c>
      <c r="P142" s="7" t="s">
        <v>733</v>
      </c>
      <c r="R142" s="7" t="s">
        <v>595</v>
      </c>
    </row>
    <row r="143" ht="22.5" customHeight="1">
      <c r="A143" s="6">
        <v>46126.54343883102</v>
      </c>
      <c r="B143" s="7" t="s">
        <v>19</v>
      </c>
      <c r="C143" s="7" t="s">
        <v>734</v>
      </c>
      <c r="D143" s="7" t="s">
        <v>98</v>
      </c>
      <c r="E143" s="7">
        <v>9.42359571E8</v>
      </c>
      <c r="F143" s="7">
        <v>1.0</v>
      </c>
      <c r="G143" s="7" t="s">
        <v>735</v>
      </c>
      <c r="H143" s="7" t="s">
        <v>101</v>
      </c>
      <c r="I143" s="7" t="s">
        <v>101</v>
      </c>
      <c r="J143" s="7" t="s">
        <v>33</v>
      </c>
      <c r="K143" s="7" t="s">
        <v>736</v>
      </c>
      <c r="L143" s="7" t="s">
        <v>101</v>
      </c>
      <c r="M143" s="7" t="s">
        <v>737</v>
      </c>
      <c r="N143" s="7" t="s">
        <v>244</v>
      </c>
      <c r="O143" s="7" t="s">
        <v>38</v>
      </c>
      <c r="P143" s="7" t="s">
        <v>738</v>
      </c>
      <c r="R143" s="7" t="s">
        <v>20</v>
      </c>
    </row>
    <row r="144" ht="22.5" customHeight="1">
      <c r="A144" s="6">
        <v>46129.51514109954</v>
      </c>
      <c r="B144" s="7" t="s">
        <v>96</v>
      </c>
      <c r="C144" s="7" t="s">
        <v>739</v>
      </c>
      <c r="D144" s="7" t="s">
        <v>488</v>
      </c>
      <c r="E144" s="7" t="s">
        <v>488</v>
      </c>
      <c r="F144" s="7">
        <v>2.0</v>
      </c>
      <c r="G144" s="7" t="s">
        <v>740</v>
      </c>
      <c r="H144" s="7" t="s">
        <v>119</v>
      </c>
      <c r="I144" s="7" t="s">
        <v>119</v>
      </c>
      <c r="J144" s="7" t="s">
        <v>61</v>
      </c>
      <c r="K144" s="7" t="s">
        <v>98</v>
      </c>
      <c r="L144" s="7" t="s">
        <v>623</v>
      </c>
      <c r="M144" s="7" t="s">
        <v>54</v>
      </c>
      <c r="N144" s="7" t="s">
        <v>37</v>
      </c>
      <c r="O144" s="7" t="s">
        <v>38</v>
      </c>
      <c r="P144" s="7" t="s">
        <v>741</v>
      </c>
      <c r="R144" s="7" t="s">
        <v>20</v>
      </c>
    </row>
    <row r="145" ht="22.5" customHeight="1">
      <c r="A145" s="6">
        <v>46130.73474929398</v>
      </c>
      <c r="B145" s="7" t="s">
        <v>96</v>
      </c>
      <c r="C145" s="7" t="s">
        <v>742</v>
      </c>
      <c r="D145" s="7" t="s">
        <v>98</v>
      </c>
      <c r="E145" s="7" t="s">
        <v>98</v>
      </c>
      <c r="F145" s="7">
        <v>1.0</v>
      </c>
      <c r="G145" s="7" t="s">
        <v>105</v>
      </c>
      <c r="H145" s="7" t="s">
        <v>119</v>
      </c>
      <c r="I145" s="7" t="s">
        <v>98</v>
      </c>
      <c r="J145" s="7" t="s">
        <v>61</v>
      </c>
      <c r="K145" s="7" t="s">
        <v>98</v>
      </c>
      <c r="L145" s="7" t="s">
        <v>98</v>
      </c>
      <c r="M145" s="7" t="s">
        <v>108</v>
      </c>
      <c r="N145" s="7" t="s">
        <v>37</v>
      </c>
      <c r="O145" s="7" t="s">
        <v>165</v>
      </c>
      <c r="P145" s="7" t="s">
        <v>743</v>
      </c>
      <c r="R145" s="7" t="s">
        <v>20</v>
      </c>
    </row>
    <row r="146" ht="22.5" customHeight="1">
      <c r="A146" s="6">
        <v>46132.61729371527</v>
      </c>
      <c r="B146" s="7" t="s">
        <v>744</v>
      </c>
      <c r="C146" s="7" t="s">
        <v>745</v>
      </c>
      <c r="D146" s="7">
        <v>41.0</v>
      </c>
      <c r="E146" s="7">
        <v>9.87569237E8</v>
      </c>
      <c r="F146" s="7">
        <v>1.0</v>
      </c>
      <c r="G146" s="7" t="s">
        <v>746</v>
      </c>
      <c r="H146" s="7" t="s">
        <v>747</v>
      </c>
      <c r="I146" s="7" t="s">
        <v>44</v>
      </c>
      <c r="J146" s="7" t="s">
        <v>33</v>
      </c>
      <c r="K146" s="7" t="s">
        <v>748</v>
      </c>
      <c r="L146" s="7" t="s">
        <v>44</v>
      </c>
      <c r="M146" s="7" t="s">
        <v>54</v>
      </c>
      <c r="N146" s="7" t="s">
        <v>37</v>
      </c>
      <c r="O146" s="7" t="s">
        <v>38</v>
      </c>
      <c r="P146" s="7" t="s">
        <v>749</v>
      </c>
      <c r="R146" s="7" t="s">
        <v>515</v>
      </c>
    </row>
    <row r="147" ht="22.5" customHeight="1">
      <c r="A147" s="6">
        <v>46132.72532964121</v>
      </c>
      <c r="B147" s="7" t="s">
        <v>620</v>
      </c>
      <c r="C147" s="7" t="s">
        <v>750</v>
      </c>
      <c r="D147" s="7" t="s">
        <v>25</v>
      </c>
      <c r="E147" s="7">
        <v>9.599515E8</v>
      </c>
      <c r="F147" s="10" t="s">
        <v>228</v>
      </c>
      <c r="G147" s="7" t="s">
        <v>751</v>
      </c>
      <c r="H147" s="7" t="s">
        <v>752</v>
      </c>
      <c r="I147" s="7" t="s">
        <v>44</v>
      </c>
      <c r="J147" s="7" t="s">
        <v>61</v>
      </c>
      <c r="K147" s="7" t="s">
        <v>46</v>
      </c>
      <c r="L147" s="7" t="s">
        <v>753</v>
      </c>
      <c r="M147" s="7" t="s">
        <v>36</v>
      </c>
      <c r="N147" s="7" t="s">
        <v>37</v>
      </c>
      <c r="P147" s="7" t="s">
        <v>46</v>
      </c>
      <c r="R147" s="7" t="s">
        <v>515</v>
      </c>
    </row>
    <row r="148" ht="22.5" customHeight="1">
      <c r="A148" s="6">
        <v>46132.72643643519</v>
      </c>
      <c r="B148" s="7" t="s">
        <v>754</v>
      </c>
      <c r="C148" s="7" t="s">
        <v>755</v>
      </c>
      <c r="D148" s="7">
        <v>38.0</v>
      </c>
      <c r="E148" s="7">
        <v>9.93018401E8</v>
      </c>
      <c r="F148" s="7">
        <v>1.0</v>
      </c>
      <c r="G148" s="7" t="s">
        <v>756</v>
      </c>
      <c r="H148" s="7" t="s">
        <v>66</v>
      </c>
      <c r="I148" s="7" t="s">
        <v>757</v>
      </c>
      <c r="J148" s="7" t="s">
        <v>26</v>
      </c>
      <c r="K148" s="7" t="s">
        <v>758</v>
      </c>
      <c r="L148" s="7" t="s">
        <v>758</v>
      </c>
      <c r="M148" s="7" t="s">
        <v>54</v>
      </c>
      <c r="N148" s="7" t="s">
        <v>759</v>
      </c>
      <c r="O148" s="7" t="s">
        <v>38</v>
      </c>
      <c r="P148" s="7" t="s">
        <v>760</v>
      </c>
      <c r="R148" s="7" t="s">
        <v>595</v>
      </c>
    </row>
    <row r="149" ht="22.5" customHeight="1">
      <c r="A149" s="6">
        <v>46134.41408826389</v>
      </c>
      <c r="B149" s="7" t="s">
        <v>206</v>
      </c>
      <c r="C149" s="7" t="s">
        <v>761</v>
      </c>
      <c r="D149" s="7">
        <v>49.0</v>
      </c>
      <c r="E149" s="7">
        <v>9.69946919E8</v>
      </c>
      <c r="F149" s="7">
        <v>1.0</v>
      </c>
      <c r="G149" s="7" t="s">
        <v>379</v>
      </c>
      <c r="H149" s="7" t="s">
        <v>762</v>
      </c>
      <c r="I149" s="7" t="s">
        <v>763</v>
      </c>
      <c r="J149" s="7" t="s">
        <v>33</v>
      </c>
      <c r="K149" s="7" t="s">
        <v>764</v>
      </c>
      <c r="L149" s="7" t="s">
        <v>758</v>
      </c>
      <c r="M149" s="7" t="s">
        <v>36</v>
      </c>
      <c r="N149" s="7" t="s">
        <v>765</v>
      </c>
      <c r="O149" s="7" t="s">
        <v>27</v>
      </c>
      <c r="P149" s="7" t="s">
        <v>766</v>
      </c>
      <c r="R149" s="7" t="s">
        <v>20</v>
      </c>
    </row>
    <row r="150" ht="22.5" customHeight="1">
      <c r="A150" s="6">
        <v>46138.50346465278</v>
      </c>
      <c r="B150" s="7" t="s">
        <v>767</v>
      </c>
      <c r="C150" s="7" t="s">
        <v>768</v>
      </c>
      <c r="D150" s="7">
        <v>26.0</v>
      </c>
      <c r="E150" s="7">
        <v>9.60580998E8</v>
      </c>
      <c r="F150" s="7">
        <v>1.0</v>
      </c>
      <c r="G150" s="7" t="s">
        <v>769</v>
      </c>
      <c r="H150" s="7" t="s">
        <v>124</v>
      </c>
      <c r="I150" s="7" t="s">
        <v>124</v>
      </c>
      <c r="J150" s="7" t="s">
        <v>26</v>
      </c>
      <c r="K150" s="7" t="s">
        <v>44</v>
      </c>
      <c r="L150" s="7" t="s">
        <v>44</v>
      </c>
      <c r="M150" s="7" t="s">
        <v>147</v>
      </c>
      <c r="N150" s="7" t="s">
        <v>37</v>
      </c>
      <c r="O150" s="7" t="s">
        <v>38</v>
      </c>
      <c r="P150" s="7" t="s">
        <v>770</v>
      </c>
      <c r="R150" s="7" t="s">
        <v>20</v>
      </c>
    </row>
    <row r="151" ht="22.5" customHeight="1">
      <c r="A151" s="6">
        <v>46139.69991784722</v>
      </c>
      <c r="B151" s="7" t="s">
        <v>771</v>
      </c>
      <c r="C151" s="7" t="s">
        <v>772</v>
      </c>
      <c r="D151" s="7">
        <v>34.0</v>
      </c>
      <c r="E151" s="7">
        <v>9.42761722E8</v>
      </c>
      <c r="F151" s="7">
        <v>1.0</v>
      </c>
      <c r="G151" s="7" t="s">
        <v>773</v>
      </c>
      <c r="H151" s="7" t="s">
        <v>101</v>
      </c>
      <c r="I151" s="7" t="s">
        <v>46</v>
      </c>
      <c r="J151" s="7" t="s">
        <v>26</v>
      </c>
      <c r="K151" s="7" t="s">
        <v>101</v>
      </c>
      <c r="L151" s="7" t="s">
        <v>101</v>
      </c>
      <c r="M151" s="7" t="s">
        <v>774</v>
      </c>
      <c r="N151" s="7" t="s">
        <v>775</v>
      </c>
      <c r="P151" s="7" t="s">
        <v>101</v>
      </c>
      <c r="R151" s="7" t="s">
        <v>20</v>
      </c>
    </row>
    <row r="152" ht="22.5" customHeight="1">
      <c r="A152" s="6">
        <v>46139.92451835648</v>
      </c>
      <c r="B152" s="7" t="s">
        <v>767</v>
      </c>
      <c r="C152" s="7" t="s">
        <v>768</v>
      </c>
      <c r="D152" s="7">
        <v>26.0</v>
      </c>
      <c r="E152" s="7">
        <v>9.60580998E8</v>
      </c>
      <c r="F152" s="7">
        <v>1.0</v>
      </c>
      <c r="G152" s="7" t="s">
        <v>776</v>
      </c>
      <c r="H152" s="7" t="s">
        <v>124</v>
      </c>
      <c r="I152" s="7" t="s">
        <v>777</v>
      </c>
      <c r="J152" s="7" t="s">
        <v>26</v>
      </c>
      <c r="K152" s="7" t="s">
        <v>98</v>
      </c>
      <c r="L152" s="7" t="s">
        <v>98</v>
      </c>
      <c r="M152" s="7" t="s">
        <v>147</v>
      </c>
      <c r="N152" s="7" t="s">
        <v>37</v>
      </c>
      <c r="O152" s="7" t="s">
        <v>38</v>
      </c>
      <c r="P152" s="7" t="s">
        <v>98</v>
      </c>
      <c r="R152" s="7" t="s">
        <v>20</v>
      </c>
    </row>
    <row r="153" ht="22.5" customHeight="1">
      <c r="A153" s="6">
        <v>46139.92875384259</v>
      </c>
      <c r="B153" s="7" t="s">
        <v>767</v>
      </c>
      <c r="C153" s="7" t="s">
        <v>768</v>
      </c>
      <c r="D153" s="7">
        <v>26.0</v>
      </c>
      <c r="E153" s="7">
        <v>9.60580998E8</v>
      </c>
      <c r="F153" s="7">
        <v>1.0</v>
      </c>
      <c r="G153" s="7" t="s">
        <v>778</v>
      </c>
      <c r="H153" s="7" t="s">
        <v>119</v>
      </c>
      <c r="I153" s="7" t="s">
        <v>779</v>
      </c>
      <c r="J153" s="7" t="s">
        <v>26</v>
      </c>
      <c r="K153" s="7" t="s">
        <v>98</v>
      </c>
      <c r="L153" s="7" t="s">
        <v>98</v>
      </c>
      <c r="M153" s="7" t="s">
        <v>147</v>
      </c>
      <c r="N153" s="7" t="s">
        <v>37</v>
      </c>
      <c r="O153" s="7" t="s">
        <v>165</v>
      </c>
      <c r="P153" s="7" t="s">
        <v>98</v>
      </c>
      <c r="R153" s="7" t="s">
        <v>20</v>
      </c>
    </row>
    <row r="154" ht="22.5" customHeight="1">
      <c r="A154" s="6">
        <v>46139.931134212966</v>
      </c>
      <c r="B154" s="7" t="s">
        <v>182</v>
      </c>
      <c r="C154" s="7" t="s">
        <v>780</v>
      </c>
      <c r="D154" s="7" t="s">
        <v>98</v>
      </c>
      <c r="E154" s="7" t="s">
        <v>98</v>
      </c>
      <c r="F154" s="7">
        <v>1.0</v>
      </c>
      <c r="G154" s="7" t="s">
        <v>781</v>
      </c>
      <c r="H154" s="7" t="s">
        <v>623</v>
      </c>
      <c r="I154" s="7" t="s">
        <v>782</v>
      </c>
      <c r="J154" s="7" t="s">
        <v>26</v>
      </c>
      <c r="K154" s="7" t="s">
        <v>488</v>
      </c>
      <c r="L154" s="7" t="s">
        <v>488</v>
      </c>
      <c r="M154" s="7" t="s">
        <v>147</v>
      </c>
      <c r="N154" s="7" t="s">
        <v>37</v>
      </c>
      <c r="O154" s="7" t="s">
        <v>27</v>
      </c>
      <c r="P154" s="7" t="s">
        <v>98</v>
      </c>
      <c r="R154" s="7" t="s">
        <v>20</v>
      </c>
    </row>
    <row r="155" ht="22.5" customHeight="1">
      <c r="A155" s="6">
        <v>46141.52657125</v>
      </c>
      <c r="B155" s="7" t="s">
        <v>783</v>
      </c>
      <c r="C155" s="7" t="s">
        <v>784</v>
      </c>
      <c r="D155" s="7">
        <v>38.0</v>
      </c>
      <c r="E155" s="7">
        <v>9.82134454E8</v>
      </c>
      <c r="F155" s="7">
        <v>1.0</v>
      </c>
      <c r="G155" s="7" t="s">
        <v>785</v>
      </c>
      <c r="H155" s="7" t="s">
        <v>124</v>
      </c>
      <c r="I155" s="7" t="s">
        <v>786</v>
      </c>
      <c r="J155" s="7" t="s">
        <v>26</v>
      </c>
      <c r="K155" s="7" t="s">
        <v>787</v>
      </c>
      <c r="L155" s="7" t="s">
        <v>44</v>
      </c>
      <c r="M155" s="7" t="s">
        <v>36</v>
      </c>
      <c r="N155" s="7" t="s">
        <v>788</v>
      </c>
      <c r="O155" s="7" t="s">
        <v>27</v>
      </c>
      <c r="P155" s="7" t="s">
        <v>789</v>
      </c>
      <c r="R155" s="7" t="s">
        <v>20</v>
      </c>
    </row>
    <row r="156" ht="22.5" customHeight="1">
      <c r="A156" s="6">
        <v>46141.66239168981</v>
      </c>
      <c r="B156" s="7" t="s">
        <v>790</v>
      </c>
      <c r="C156" s="7" t="s">
        <v>791</v>
      </c>
      <c r="D156" s="7">
        <v>37.0</v>
      </c>
      <c r="E156" s="7">
        <v>9.87781829E8</v>
      </c>
      <c r="F156" s="7">
        <v>1.0</v>
      </c>
      <c r="G156" s="7" t="s">
        <v>792</v>
      </c>
      <c r="H156" s="7" t="s">
        <v>46</v>
      </c>
      <c r="I156" s="7" t="s">
        <v>46</v>
      </c>
      <c r="J156" s="7" t="s">
        <v>26</v>
      </c>
      <c r="K156" s="7" t="s">
        <v>46</v>
      </c>
      <c r="L156" s="7" t="s">
        <v>46</v>
      </c>
      <c r="M156" s="7" t="s">
        <v>54</v>
      </c>
      <c r="N156" s="7" t="s">
        <v>37</v>
      </c>
      <c r="O156" s="7" t="s">
        <v>27</v>
      </c>
      <c r="P156" s="7" t="s">
        <v>46</v>
      </c>
      <c r="R156" s="7" t="s">
        <v>20</v>
      </c>
    </row>
    <row r="157" ht="22.5" customHeight="1">
      <c r="A157" s="6">
        <v>46143.69023826389</v>
      </c>
      <c r="B157" s="7" t="s">
        <v>793</v>
      </c>
      <c r="C157" s="7" t="s">
        <v>794</v>
      </c>
      <c r="D157" s="7">
        <v>36.0</v>
      </c>
      <c r="E157" s="7">
        <v>9.67139426E8</v>
      </c>
      <c r="F157" s="7">
        <v>1.0</v>
      </c>
      <c r="G157" s="7" t="s">
        <v>795</v>
      </c>
      <c r="H157" s="7" t="s">
        <v>124</v>
      </c>
      <c r="I157" s="7" t="s">
        <v>52</v>
      </c>
      <c r="J157" s="7" t="s">
        <v>33</v>
      </c>
      <c r="K157" s="7" t="s">
        <v>796</v>
      </c>
      <c r="L157" s="7" t="s">
        <v>52</v>
      </c>
      <c r="M157" s="7" t="s">
        <v>54</v>
      </c>
      <c r="N157" s="7" t="s">
        <v>37</v>
      </c>
      <c r="O157" s="7" t="s">
        <v>165</v>
      </c>
      <c r="P157" s="7" t="s">
        <v>52</v>
      </c>
      <c r="R157" s="7" t="s">
        <v>20</v>
      </c>
    </row>
    <row r="158" ht="22.5" customHeight="1">
      <c r="A158" s="6">
        <v>46143.73118004629</v>
      </c>
      <c r="B158" s="7" t="s">
        <v>797</v>
      </c>
      <c r="C158" s="7" t="s">
        <v>798</v>
      </c>
      <c r="D158" s="7">
        <v>35.0</v>
      </c>
      <c r="E158" s="7">
        <v>9.13188919E8</v>
      </c>
      <c r="F158" s="7" t="s">
        <v>799</v>
      </c>
      <c r="G158" s="7" t="s">
        <v>31</v>
      </c>
      <c r="H158" s="7" t="s">
        <v>800</v>
      </c>
      <c r="I158" s="7" t="s">
        <v>44</v>
      </c>
      <c r="J158" s="7" t="s">
        <v>33</v>
      </c>
      <c r="K158" s="7" t="s">
        <v>801</v>
      </c>
      <c r="L158" s="7" t="s">
        <v>44</v>
      </c>
      <c r="M158" s="7" t="s">
        <v>36</v>
      </c>
      <c r="N158" s="7" t="s">
        <v>37</v>
      </c>
      <c r="P158" s="7" t="s">
        <v>802</v>
      </c>
      <c r="R158" s="7" t="s">
        <v>595</v>
      </c>
    </row>
    <row r="159" ht="22.5" customHeight="1">
      <c r="A159" s="6">
        <v>46144.48189917824</v>
      </c>
      <c r="B159" s="7" t="s">
        <v>803</v>
      </c>
      <c r="C159" s="7" t="s">
        <v>804</v>
      </c>
      <c r="D159" s="7">
        <v>32.0</v>
      </c>
      <c r="E159" s="7">
        <v>9.50665906E8</v>
      </c>
      <c r="F159" s="7">
        <v>1.0</v>
      </c>
      <c r="G159" s="7" t="s">
        <v>805</v>
      </c>
      <c r="H159" s="7" t="s">
        <v>806</v>
      </c>
      <c r="I159" s="7" t="s">
        <v>807</v>
      </c>
      <c r="J159" s="7" t="s">
        <v>26</v>
      </c>
      <c r="K159" s="7" t="s">
        <v>808</v>
      </c>
      <c r="L159" s="7" t="s">
        <v>809</v>
      </c>
      <c r="M159" s="7" t="s">
        <v>36</v>
      </c>
      <c r="N159" s="7" t="s">
        <v>37</v>
      </c>
      <c r="P159" s="7" t="s">
        <v>810</v>
      </c>
      <c r="R159" s="7" t="s">
        <v>20</v>
      </c>
    </row>
    <row r="160" ht="22.5" customHeight="1">
      <c r="A160" s="6">
        <v>46144.61385025463</v>
      </c>
      <c r="B160" s="7" t="s">
        <v>811</v>
      </c>
      <c r="C160" s="7" t="s">
        <v>812</v>
      </c>
      <c r="D160" s="7">
        <v>63.0</v>
      </c>
      <c r="E160" s="7">
        <v>9.86813632E8</v>
      </c>
      <c r="F160" s="7" t="s">
        <v>813</v>
      </c>
      <c r="G160" s="7" t="s">
        <v>814</v>
      </c>
      <c r="H160" s="7" t="s">
        <v>815</v>
      </c>
      <c r="I160" s="7" t="s">
        <v>44</v>
      </c>
      <c r="J160" s="7" t="s">
        <v>26</v>
      </c>
      <c r="K160" s="7" t="s">
        <v>44</v>
      </c>
      <c r="L160" s="7" t="s">
        <v>44</v>
      </c>
      <c r="M160" s="7" t="s">
        <v>36</v>
      </c>
      <c r="N160" s="7" t="s">
        <v>816</v>
      </c>
      <c r="O160" s="7" t="s">
        <v>165</v>
      </c>
      <c r="P160" s="7" t="s">
        <v>817</v>
      </c>
      <c r="R160" s="7" t="s">
        <v>20</v>
      </c>
    </row>
    <row r="161" ht="22.5" customHeight="1">
      <c r="A161" s="6">
        <v>46145.86661135417</v>
      </c>
      <c r="B161" s="7" t="s">
        <v>19</v>
      </c>
      <c r="C161" s="7" t="s">
        <v>20</v>
      </c>
      <c r="D161" s="7" t="s">
        <v>98</v>
      </c>
      <c r="E161" s="7" t="s">
        <v>818</v>
      </c>
      <c r="F161" s="7">
        <v>1.0</v>
      </c>
      <c r="G161" s="7" t="s">
        <v>379</v>
      </c>
      <c r="H161" s="7" t="s">
        <v>119</v>
      </c>
      <c r="I161" s="7" t="s">
        <v>101</v>
      </c>
      <c r="J161" s="7" t="s">
        <v>33</v>
      </c>
      <c r="K161" s="7" t="s">
        <v>819</v>
      </c>
      <c r="L161" s="7" t="s">
        <v>101</v>
      </c>
      <c r="M161" s="7" t="s">
        <v>36</v>
      </c>
      <c r="N161" s="7" t="s">
        <v>820</v>
      </c>
      <c r="O161" s="7" t="s">
        <v>38</v>
      </c>
      <c r="P161" s="7" t="s">
        <v>98</v>
      </c>
      <c r="R161" s="7" t="s">
        <v>20</v>
      </c>
    </row>
    <row r="162" ht="22.5" customHeight="1">
      <c r="A162" s="6">
        <v>46145.884002164355</v>
      </c>
      <c r="B162" s="7" t="s">
        <v>19</v>
      </c>
      <c r="C162" s="7" t="s">
        <v>20</v>
      </c>
      <c r="D162" s="7" t="s">
        <v>98</v>
      </c>
      <c r="E162" s="7" t="s">
        <v>98</v>
      </c>
      <c r="F162" s="7">
        <v>1.0</v>
      </c>
      <c r="G162" s="7" t="s">
        <v>65</v>
      </c>
      <c r="H162" s="7" t="s">
        <v>101</v>
      </c>
      <c r="I162" s="7" t="s">
        <v>101</v>
      </c>
      <c r="J162" s="7" t="s">
        <v>33</v>
      </c>
      <c r="K162" s="7" t="s">
        <v>819</v>
      </c>
      <c r="L162" s="7" t="s">
        <v>98</v>
      </c>
      <c r="M162" s="7" t="s">
        <v>36</v>
      </c>
      <c r="N162" s="7" t="s">
        <v>821</v>
      </c>
      <c r="O162" s="7" t="s">
        <v>38</v>
      </c>
      <c r="P162" s="7" t="s">
        <v>98</v>
      </c>
      <c r="R162" s="7" t="s">
        <v>20</v>
      </c>
    </row>
    <row r="163" ht="22.5" customHeight="1">
      <c r="A163" s="6">
        <v>46145.88490305556</v>
      </c>
      <c r="B163" s="7" t="s">
        <v>19</v>
      </c>
      <c r="C163" s="7" t="s">
        <v>580</v>
      </c>
      <c r="D163" s="7" t="s">
        <v>98</v>
      </c>
      <c r="E163" s="7" t="s">
        <v>98</v>
      </c>
      <c r="F163" s="7">
        <v>1.0</v>
      </c>
      <c r="G163" s="7" t="s">
        <v>822</v>
      </c>
      <c r="H163" s="7" t="s">
        <v>101</v>
      </c>
      <c r="I163" s="7" t="s">
        <v>101</v>
      </c>
      <c r="J163" s="7" t="s">
        <v>33</v>
      </c>
      <c r="K163" s="7" t="s">
        <v>819</v>
      </c>
      <c r="L163" s="7" t="s">
        <v>101</v>
      </c>
      <c r="M163" s="7" t="s">
        <v>36</v>
      </c>
      <c r="N163" s="7" t="s">
        <v>821</v>
      </c>
      <c r="O163" s="7" t="s">
        <v>38</v>
      </c>
      <c r="P163" s="7" t="s">
        <v>98</v>
      </c>
      <c r="R163" s="7" t="s">
        <v>20</v>
      </c>
    </row>
    <row r="164" ht="22.5" customHeight="1">
      <c r="A164" s="6">
        <v>46146.9593981713</v>
      </c>
      <c r="B164" s="7" t="s">
        <v>823</v>
      </c>
      <c r="C164" s="7" t="s">
        <v>20</v>
      </c>
      <c r="D164" s="7" t="s">
        <v>98</v>
      </c>
      <c r="E164" s="7" t="s">
        <v>98</v>
      </c>
      <c r="F164" s="7">
        <v>3.0</v>
      </c>
      <c r="G164" s="7" t="s">
        <v>824</v>
      </c>
      <c r="H164" s="7" t="s">
        <v>101</v>
      </c>
      <c r="I164" s="7" t="s">
        <v>101</v>
      </c>
      <c r="J164" s="7" t="s">
        <v>26</v>
      </c>
      <c r="K164" s="7" t="s">
        <v>25</v>
      </c>
      <c r="L164" s="7" t="s">
        <v>25</v>
      </c>
      <c r="M164" s="7" t="s">
        <v>36</v>
      </c>
      <c r="N164" s="7" t="s">
        <v>28</v>
      </c>
      <c r="O164" s="7" t="s">
        <v>27</v>
      </c>
      <c r="P164" s="7" t="s">
        <v>98</v>
      </c>
      <c r="R164" s="7" t="s">
        <v>20</v>
      </c>
    </row>
    <row r="165" ht="22.5" customHeight="1">
      <c r="A165" s="6">
        <v>46146.96377351852</v>
      </c>
      <c r="B165" s="7" t="s">
        <v>823</v>
      </c>
      <c r="C165" s="7" t="s">
        <v>20</v>
      </c>
      <c r="D165" s="7" t="s">
        <v>98</v>
      </c>
      <c r="E165" s="7" t="s">
        <v>98</v>
      </c>
      <c r="F165" s="7">
        <v>2.0</v>
      </c>
      <c r="G165" s="7" t="s">
        <v>825</v>
      </c>
      <c r="H165" s="7" t="s">
        <v>98</v>
      </c>
      <c r="I165" s="7" t="s">
        <v>98</v>
      </c>
      <c r="J165" s="7" t="s">
        <v>26</v>
      </c>
      <c r="K165" s="7" t="s">
        <v>98</v>
      </c>
      <c r="L165" s="7" t="s">
        <v>98</v>
      </c>
      <c r="M165" s="7" t="s">
        <v>36</v>
      </c>
      <c r="N165" s="7" t="s">
        <v>28</v>
      </c>
      <c r="O165" s="7" t="s">
        <v>27</v>
      </c>
      <c r="P165" s="7" t="s">
        <v>98</v>
      </c>
      <c r="R165" s="7" t="s">
        <v>20</v>
      </c>
    </row>
    <row r="166" ht="22.5" customHeight="1">
      <c r="A166" s="6">
        <v>46146.96656548612</v>
      </c>
      <c r="B166" s="7" t="s">
        <v>823</v>
      </c>
      <c r="C166" s="7" t="s">
        <v>20</v>
      </c>
      <c r="D166" s="7" t="s">
        <v>98</v>
      </c>
      <c r="E166" s="7" t="s">
        <v>98</v>
      </c>
      <c r="F166" s="7">
        <v>2.0</v>
      </c>
      <c r="G166" s="7" t="s">
        <v>826</v>
      </c>
      <c r="H166" s="7" t="s">
        <v>98</v>
      </c>
      <c r="I166" s="7" t="s">
        <v>98</v>
      </c>
      <c r="J166" s="7" t="s">
        <v>26</v>
      </c>
      <c r="K166" s="7" t="s">
        <v>98</v>
      </c>
      <c r="L166" s="7" t="s">
        <v>98</v>
      </c>
      <c r="M166" s="7" t="s">
        <v>36</v>
      </c>
      <c r="N166" s="7" t="s">
        <v>28</v>
      </c>
      <c r="O166" s="7" t="s">
        <v>38</v>
      </c>
      <c r="P166" s="7" t="s">
        <v>98</v>
      </c>
      <c r="R166" s="7" t="s">
        <v>20</v>
      </c>
    </row>
    <row r="167" ht="22.5" customHeight="1">
      <c r="A167" s="6">
        <v>46146.96830436343</v>
      </c>
      <c r="B167" s="7" t="s">
        <v>823</v>
      </c>
      <c r="C167" s="7" t="s">
        <v>20</v>
      </c>
      <c r="D167" s="7" t="s">
        <v>98</v>
      </c>
      <c r="E167" s="7" t="s">
        <v>98</v>
      </c>
      <c r="F167" s="7">
        <v>2.0</v>
      </c>
      <c r="G167" s="7" t="s">
        <v>827</v>
      </c>
      <c r="H167" s="7" t="s">
        <v>98</v>
      </c>
      <c r="I167" s="7" t="s">
        <v>98</v>
      </c>
      <c r="J167" s="7" t="s">
        <v>26</v>
      </c>
      <c r="K167" s="7" t="s">
        <v>98</v>
      </c>
      <c r="L167" s="7" t="s">
        <v>98</v>
      </c>
      <c r="M167" s="7" t="s">
        <v>36</v>
      </c>
      <c r="N167" s="7" t="s">
        <v>74</v>
      </c>
      <c r="O167" s="7" t="s">
        <v>38</v>
      </c>
      <c r="P167" s="7" t="s">
        <v>98</v>
      </c>
      <c r="R167" s="7" t="s">
        <v>20</v>
      </c>
    </row>
    <row r="168" ht="22.5" customHeight="1">
      <c r="A168" s="6">
        <v>46146.79392909722</v>
      </c>
      <c r="B168" s="7" t="s">
        <v>828</v>
      </c>
      <c r="C168" s="7" t="s">
        <v>829</v>
      </c>
      <c r="D168" s="7">
        <v>33.0</v>
      </c>
      <c r="E168" s="7">
        <v>9.91989982E8</v>
      </c>
      <c r="F168" s="7">
        <v>2.0</v>
      </c>
      <c r="G168" s="7" t="s">
        <v>830</v>
      </c>
      <c r="H168" s="7" t="s">
        <v>32</v>
      </c>
      <c r="I168" s="7" t="s">
        <v>32</v>
      </c>
      <c r="J168" s="7" t="s">
        <v>26</v>
      </c>
      <c r="K168" s="7" t="s">
        <v>32</v>
      </c>
      <c r="L168" s="7" t="s">
        <v>32</v>
      </c>
      <c r="M168" s="7" t="s">
        <v>831</v>
      </c>
      <c r="N168" s="7" t="s">
        <v>37</v>
      </c>
      <c r="O168" s="7" t="s">
        <v>27</v>
      </c>
      <c r="P168" s="7" t="s">
        <v>32</v>
      </c>
      <c r="R168" s="7" t="s">
        <v>20</v>
      </c>
    </row>
    <row r="169" ht="22.5" customHeight="1">
      <c r="A169" s="6">
        <v>46146.904926284726</v>
      </c>
      <c r="B169" s="7" t="s">
        <v>832</v>
      </c>
      <c r="C169" s="7" t="s">
        <v>833</v>
      </c>
      <c r="D169" s="7">
        <v>40.0</v>
      </c>
      <c r="E169" s="7">
        <v>9.65775573E8</v>
      </c>
      <c r="F169" s="7">
        <v>2.0</v>
      </c>
      <c r="G169" s="7" t="s">
        <v>834</v>
      </c>
      <c r="H169" s="7" t="s">
        <v>835</v>
      </c>
      <c r="I169" s="7" t="s">
        <v>44</v>
      </c>
      <c r="J169" s="7" t="s">
        <v>26</v>
      </c>
      <c r="K169" s="7" t="s">
        <v>44</v>
      </c>
      <c r="L169" s="7" t="s">
        <v>44</v>
      </c>
      <c r="M169" s="7" t="s">
        <v>836</v>
      </c>
      <c r="N169" s="7" t="s">
        <v>37</v>
      </c>
      <c r="O169" s="7" t="s">
        <v>27</v>
      </c>
      <c r="P169" s="7" t="s">
        <v>837</v>
      </c>
      <c r="R169" s="7" t="s">
        <v>20</v>
      </c>
    </row>
    <row r="170" ht="22.5" customHeight="1">
      <c r="A170" s="6">
        <v>46146.97121346065</v>
      </c>
      <c r="B170" s="7" t="s">
        <v>823</v>
      </c>
      <c r="C170" s="7" t="s">
        <v>833</v>
      </c>
      <c r="D170" s="7">
        <v>40.0</v>
      </c>
      <c r="E170" s="7" t="s">
        <v>98</v>
      </c>
      <c r="F170" s="7">
        <v>1.0</v>
      </c>
      <c r="G170" s="7" t="s">
        <v>838</v>
      </c>
      <c r="H170" s="7" t="s">
        <v>839</v>
      </c>
      <c r="I170" s="7" t="s">
        <v>101</v>
      </c>
      <c r="J170" s="7" t="s">
        <v>26</v>
      </c>
      <c r="K170" s="7" t="s">
        <v>98</v>
      </c>
      <c r="L170" s="7" t="s">
        <v>98</v>
      </c>
      <c r="M170" s="7" t="s">
        <v>36</v>
      </c>
      <c r="N170" s="7" t="s">
        <v>37</v>
      </c>
      <c r="O170" s="7" t="s">
        <v>38</v>
      </c>
      <c r="P170" s="7" t="s">
        <v>98</v>
      </c>
      <c r="R170" s="7" t="s">
        <v>20</v>
      </c>
    </row>
    <row r="171" ht="22.5" customHeight="1">
      <c r="A171" s="6">
        <v>46146.999581412034</v>
      </c>
      <c r="B171" s="7" t="s">
        <v>823</v>
      </c>
      <c r="C171" s="7" t="s">
        <v>20</v>
      </c>
      <c r="D171" s="7" t="s">
        <v>98</v>
      </c>
      <c r="E171" s="7" t="s">
        <v>98</v>
      </c>
      <c r="F171" s="7">
        <v>1.0</v>
      </c>
      <c r="G171" s="7" t="s">
        <v>840</v>
      </c>
      <c r="H171" s="7" t="s">
        <v>841</v>
      </c>
      <c r="I171" s="7" t="s">
        <v>101</v>
      </c>
      <c r="J171" s="7" t="s">
        <v>26</v>
      </c>
      <c r="K171" s="7" t="s">
        <v>98</v>
      </c>
      <c r="L171" s="7" t="s">
        <v>98</v>
      </c>
      <c r="M171" s="7" t="s">
        <v>36</v>
      </c>
      <c r="N171" s="7" t="s">
        <v>37</v>
      </c>
      <c r="O171" s="7" t="s">
        <v>38</v>
      </c>
      <c r="P171" s="7" t="s">
        <v>98</v>
      </c>
      <c r="R171" s="7" t="s">
        <v>20</v>
      </c>
    </row>
    <row r="172" ht="22.5" customHeight="1">
      <c r="A172" s="6">
        <v>46147.602843773144</v>
      </c>
      <c r="B172" s="7" t="s">
        <v>842</v>
      </c>
      <c r="C172" s="7" t="s">
        <v>843</v>
      </c>
      <c r="D172" s="7">
        <v>55.0</v>
      </c>
      <c r="E172" s="7">
        <v>9.80790802E8</v>
      </c>
      <c r="F172" s="7">
        <v>3.0</v>
      </c>
      <c r="G172" s="7" t="s">
        <v>844</v>
      </c>
      <c r="H172" s="7" t="s">
        <v>124</v>
      </c>
      <c r="I172" s="7" t="s">
        <v>44</v>
      </c>
      <c r="J172" s="7" t="s">
        <v>33</v>
      </c>
      <c r="K172" s="7" t="s">
        <v>845</v>
      </c>
      <c r="L172" s="7" t="s">
        <v>44</v>
      </c>
      <c r="M172" s="7" t="s">
        <v>36</v>
      </c>
      <c r="N172" s="7" t="s">
        <v>37</v>
      </c>
      <c r="O172" s="7" t="s">
        <v>38</v>
      </c>
      <c r="P172" s="7" t="s">
        <v>846</v>
      </c>
      <c r="R172" s="7" t="s">
        <v>20</v>
      </c>
    </row>
    <row r="173" ht="22.5" customHeight="1">
      <c r="A173" s="6">
        <v>46148.37039247685</v>
      </c>
      <c r="B173" s="7" t="s">
        <v>847</v>
      </c>
      <c r="C173" s="7" t="s">
        <v>848</v>
      </c>
      <c r="D173" s="7">
        <v>20.0</v>
      </c>
      <c r="E173" s="7">
        <v>9.52157814E8</v>
      </c>
      <c r="F173" s="7">
        <v>1.0</v>
      </c>
      <c r="G173" s="7" t="s">
        <v>849</v>
      </c>
      <c r="H173" s="7" t="s">
        <v>124</v>
      </c>
      <c r="I173" s="7" t="s">
        <v>44</v>
      </c>
      <c r="J173" s="7" t="s">
        <v>61</v>
      </c>
      <c r="K173" s="7" t="s">
        <v>44</v>
      </c>
      <c r="L173" s="7" t="s">
        <v>850</v>
      </c>
      <c r="M173" s="7" t="s">
        <v>36</v>
      </c>
      <c r="N173" s="7" t="s">
        <v>37</v>
      </c>
      <c r="O173" s="7" t="s">
        <v>165</v>
      </c>
      <c r="P173" s="7" t="s">
        <v>851</v>
      </c>
      <c r="R173" s="7" t="s">
        <v>20</v>
      </c>
    </row>
    <row r="174" ht="22.5" customHeight="1">
      <c r="A174" s="6">
        <v>46151.462910358794</v>
      </c>
      <c r="B174" s="7" t="s">
        <v>620</v>
      </c>
      <c r="C174" s="7" t="s">
        <v>25</v>
      </c>
      <c r="D174" s="7" t="s">
        <v>98</v>
      </c>
      <c r="E174" s="7" t="s">
        <v>98</v>
      </c>
      <c r="F174" s="7">
        <v>1.0</v>
      </c>
      <c r="G174" s="7" t="s">
        <v>852</v>
      </c>
      <c r="H174" s="7" t="s">
        <v>25</v>
      </c>
      <c r="I174" s="7" t="s">
        <v>25</v>
      </c>
      <c r="J174" s="7" t="s">
        <v>26</v>
      </c>
      <c r="K174" s="7" t="s">
        <v>25</v>
      </c>
      <c r="L174" s="7" t="s">
        <v>25</v>
      </c>
      <c r="M174" s="7" t="s">
        <v>36</v>
      </c>
      <c r="N174" s="7" t="s">
        <v>37</v>
      </c>
      <c r="O174" s="7" t="s">
        <v>38</v>
      </c>
      <c r="P174" s="7" t="s">
        <v>25</v>
      </c>
      <c r="R174" s="7" t="s">
        <v>20</v>
      </c>
    </row>
    <row r="175" ht="22.5" customHeight="1">
      <c r="A175" s="6">
        <v>46151.468204317134</v>
      </c>
      <c r="B175" s="7" t="s">
        <v>620</v>
      </c>
      <c r="C175" s="7" t="s">
        <v>25</v>
      </c>
      <c r="D175" s="7" t="s">
        <v>25</v>
      </c>
      <c r="E175" s="7" t="s">
        <v>25</v>
      </c>
      <c r="F175" s="7" t="s">
        <v>25</v>
      </c>
      <c r="G175" s="7" t="s">
        <v>853</v>
      </c>
      <c r="H175" s="7" t="s">
        <v>25</v>
      </c>
      <c r="I175" s="7" t="s">
        <v>25</v>
      </c>
      <c r="J175" s="7" t="s">
        <v>26</v>
      </c>
      <c r="K175" s="7" t="s">
        <v>25</v>
      </c>
      <c r="L175" s="7" t="s">
        <v>25</v>
      </c>
      <c r="M175" s="7" t="s">
        <v>36</v>
      </c>
      <c r="N175" s="7" t="s">
        <v>37</v>
      </c>
      <c r="O175" s="7" t="s">
        <v>38</v>
      </c>
      <c r="P175" s="7" t="s">
        <v>98</v>
      </c>
      <c r="R175" s="7" t="s">
        <v>20</v>
      </c>
    </row>
    <row r="176" ht="22.5" customHeight="1">
      <c r="A176" s="6">
        <v>46153.69643271991</v>
      </c>
      <c r="B176" s="7" t="s">
        <v>854</v>
      </c>
      <c r="C176" s="7" t="s">
        <v>855</v>
      </c>
      <c r="D176" s="7">
        <v>39.0</v>
      </c>
      <c r="E176" s="7">
        <v>9.99428288E8</v>
      </c>
      <c r="F176" s="7">
        <v>1.0</v>
      </c>
      <c r="G176" s="7" t="s">
        <v>856</v>
      </c>
      <c r="H176" s="7" t="s">
        <v>124</v>
      </c>
      <c r="I176" s="7" t="s">
        <v>44</v>
      </c>
      <c r="J176" s="7" t="s">
        <v>26</v>
      </c>
      <c r="K176" s="7" t="s">
        <v>44</v>
      </c>
      <c r="L176" s="7" t="s">
        <v>44</v>
      </c>
      <c r="M176" s="7" t="s">
        <v>36</v>
      </c>
      <c r="N176" s="7" t="s">
        <v>37</v>
      </c>
      <c r="O176" s="7" t="s">
        <v>27</v>
      </c>
      <c r="P176" s="7" t="s">
        <v>138</v>
      </c>
      <c r="R176" s="7" t="s">
        <v>20</v>
      </c>
    </row>
    <row r="177" ht="22.5" customHeight="1">
      <c r="A177" s="6">
        <v>46155.89097226852</v>
      </c>
      <c r="B177" s="7" t="s">
        <v>857</v>
      </c>
      <c r="C177" s="7" t="s">
        <v>858</v>
      </c>
      <c r="D177" s="7">
        <v>31.0</v>
      </c>
      <c r="E177" s="7">
        <v>9.55314593E8</v>
      </c>
      <c r="F177" s="7">
        <v>1.0</v>
      </c>
      <c r="G177" s="7" t="s">
        <v>379</v>
      </c>
      <c r="H177" s="7" t="s">
        <v>222</v>
      </c>
      <c r="I177" s="7" t="s">
        <v>222</v>
      </c>
      <c r="J177" s="7" t="s">
        <v>26</v>
      </c>
      <c r="K177" s="7" t="s">
        <v>46</v>
      </c>
      <c r="L177" s="7" t="s">
        <v>46</v>
      </c>
      <c r="M177" s="7" t="s">
        <v>36</v>
      </c>
      <c r="N177" s="7" t="s">
        <v>657</v>
      </c>
      <c r="P177" s="7" t="s">
        <v>46</v>
      </c>
      <c r="R177" s="7" t="s">
        <v>20</v>
      </c>
    </row>
    <row r="178" ht="22.5" customHeight="1">
      <c r="A178" s="6">
        <v>46156.541049884254</v>
      </c>
      <c r="B178" s="7" t="s">
        <v>19</v>
      </c>
      <c r="C178" s="7" t="s">
        <v>859</v>
      </c>
      <c r="D178" s="7" t="s">
        <v>98</v>
      </c>
      <c r="E178" s="7">
        <v>9.41886734E8</v>
      </c>
      <c r="F178" s="7">
        <v>1.0</v>
      </c>
      <c r="G178" s="7" t="s">
        <v>31</v>
      </c>
      <c r="H178" s="7" t="s">
        <v>119</v>
      </c>
      <c r="I178" s="7" t="s">
        <v>101</v>
      </c>
      <c r="J178" s="7" t="s">
        <v>26</v>
      </c>
      <c r="K178" s="7" t="s">
        <v>25</v>
      </c>
      <c r="L178" s="7" t="s">
        <v>25</v>
      </c>
      <c r="M178" s="7" t="s">
        <v>860</v>
      </c>
      <c r="N178" s="7" t="s">
        <v>37</v>
      </c>
      <c r="O178" s="7" t="s">
        <v>27</v>
      </c>
      <c r="P178" s="7" t="s">
        <v>861</v>
      </c>
      <c r="R178" s="7" t="s">
        <v>20</v>
      </c>
    </row>
    <row r="179" ht="22.5" customHeight="1">
      <c r="A179" s="6">
        <v>46156.547873414354</v>
      </c>
      <c r="B179" s="7" t="s">
        <v>19</v>
      </c>
      <c r="C179" s="7" t="s">
        <v>862</v>
      </c>
      <c r="D179" s="7" t="s">
        <v>98</v>
      </c>
      <c r="E179" s="7">
        <v>9.41886734E8</v>
      </c>
      <c r="F179" s="7">
        <v>1.0</v>
      </c>
      <c r="G179" s="7" t="s">
        <v>280</v>
      </c>
      <c r="H179" s="7" t="s">
        <v>51</v>
      </c>
      <c r="I179" s="7" t="s">
        <v>119</v>
      </c>
      <c r="J179" s="7" t="s">
        <v>26</v>
      </c>
      <c r="K179" s="7" t="s">
        <v>25</v>
      </c>
      <c r="L179" s="7" t="s">
        <v>25</v>
      </c>
      <c r="M179" s="7" t="s">
        <v>860</v>
      </c>
      <c r="N179" s="7" t="s">
        <v>37</v>
      </c>
      <c r="O179" s="7" t="s">
        <v>38</v>
      </c>
      <c r="P179" s="7" t="s">
        <v>863</v>
      </c>
      <c r="R179" s="7" t="s">
        <v>20</v>
      </c>
    </row>
    <row r="180" ht="22.5" customHeight="1">
      <c r="A180" s="6">
        <v>46156.56205663194</v>
      </c>
      <c r="B180" s="7" t="s">
        <v>19</v>
      </c>
      <c r="C180" s="7" t="s">
        <v>864</v>
      </c>
      <c r="D180" s="7" t="s">
        <v>98</v>
      </c>
      <c r="E180" s="7">
        <v>9.97157212E8</v>
      </c>
      <c r="F180" s="7">
        <v>1.0</v>
      </c>
      <c r="G180" s="7" t="s">
        <v>65</v>
      </c>
      <c r="H180" s="7" t="s">
        <v>865</v>
      </c>
      <c r="I180" s="7" t="s">
        <v>101</v>
      </c>
      <c r="J180" s="7" t="s">
        <v>26</v>
      </c>
      <c r="K180" s="7" t="s">
        <v>25</v>
      </c>
      <c r="L180" s="7" t="s">
        <v>25</v>
      </c>
      <c r="M180" s="7" t="s">
        <v>860</v>
      </c>
      <c r="N180" s="7" t="s">
        <v>37</v>
      </c>
      <c r="O180" s="7" t="s">
        <v>38</v>
      </c>
      <c r="P180" s="7" t="s">
        <v>98</v>
      </c>
      <c r="R180" s="7" t="s">
        <v>20</v>
      </c>
    </row>
    <row r="181" ht="22.5" customHeight="1">
      <c r="A181" s="6">
        <v>46156.58323775463</v>
      </c>
      <c r="B181" s="7" t="s">
        <v>19</v>
      </c>
      <c r="C181" s="7" t="s">
        <v>866</v>
      </c>
      <c r="D181" s="7" t="s">
        <v>98</v>
      </c>
      <c r="E181" s="7">
        <v>9.9995012E8</v>
      </c>
      <c r="F181" s="7">
        <v>1.0</v>
      </c>
      <c r="G181" s="7" t="s">
        <v>867</v>
      </c>
      <c r="H181" s="7" t="s">
        <v>868</v>
      </c>
      <c r="I181" s="7" t="s">
        <v>101</v>
      </c>
      <c r="J181" s="7" t="s">
        <v>26</v>
      </c>
      <c r="K181" s="7" t="s">
        <v>25</v>
      </c>
      <c r="L181" s="7" t="s">
        <v>25</v>
      </c>
      <c r="M181" s="7" t="s">
        <v>860</v>
      </c>
      <c r="N181" s="7" t="s">
        <v>37</v>
      </c>
      <c r="O181" s="7" t="s">
        <v>38</v>
      </c>
      <c r="P181" s="7" t="s">
        <v>869</v>
      </c>
      <c r="R181" s="7" t="s">
        <v>20</v>
      </c>
    </row>
    <row r="182" ht="22.5" customHeight="1">
      <c r="A182" s="6">
        <v>46156.58871142361</v>
      </c>
      <c r="B182" s="7" t="s">
        <v>19</v>
      </c>
      <c r="C182" s="7" t="s">
        <v>866</v>
      </c>
      <c r="D182" s="7" t="s">
        <v>98</v>
      </c>
      <c r="E182" s="7">
        <v>9.9995012E8</v>
      </c>
      <c r="F182" s="7">
        <v>1.0</v>
      </c>
      <c r="G182" s="7" t="s">
        <v>31</v>
      </c>
      <c r="H182" s="7" t="s">
        <v>870</v>
      </c>
      <c r="I182" s="7" t="s">
        <v>871</v>
      </c>
      <c r="J182" s="7" t="s">
        <v>26</v>
      </c>
      <c r="K182" s="7" t="s">
        <v>25</v>
      </c>
      <c r="L182" s="7" t="s">
        <v>25</v>
      </c>
      <c r="M182" s="7" t="s">
        <v>860</v>
      </c>
      <c r="N182" s="7" t="s">
        <v>37</v>
      </c>
      <c r="O182" s="7" t="s">
        <v>38</v>
      </c>
      <c r="P182" s="7" t="s">
        <v>872</v>
      </c>
      <c r="R182" s="7" t="s">
        <v>20</v>
      </c>
    </row>
    <row r="183" ht="22.5" customHeight="1">
      <c r="A183" s="6">
        <v>46156.60114672454</v>
      </c>
      <c r="B183" s="7" t="s">
        <v>19</v>
      </c>
      <c r="C183" s="7" t="s">
        <v>873</v>
      </c>
      <c r="D183" s="7" t="s">
        <v>25</v>
      </c>
      <c r="E183" s="7">
        <v>9.87061795E8</v>
      </c>
      <c r="F183" s="7">
        <v>1.0</v>
      </c>
      <c r="G183" s="7" t="s">
        <v>280</v>
      </c>
      <c r="H183" s="7" t="s">
        <v>874</v>
      </c>
      <c r="I183" s="7" t="s">
        <v>101</v>
      </c>
      <c r="J183" s="7" t="s">
        <v>26</v>
      </c>
      <c r="K183" s="7" t="s">
        <v>25</v>
      </c>
      <c r="L183" s="7" t="s">
        <v>25</v>
      </c>
      <c r="M183" s="7" t="s">
        <v>860</v>
      </c>
      <c r="N183" s="7" t="s">
        <v>37</v>
      </c>
      <c r="O183" s="7" t="s">
        <v>38</v>
      </c>
      <c r="P183" s="7" t="s">
        <v>98</v>
      </c>
      <c r="R183" s="7" t="s">
        <v>20</v>
      </c>
    </row>
    <row r="184" ht="22.5" customHeight="1">
      <c r="A184" s="6">
        <v>46156.61739063657</v>
      </c>
      <c r="B184" s="7" t="s">
        <v>19</v>
      </c>
      <c r="C184" s="7" t="s">
        <v>875</v>
      </c>
      <c r="D184" s="7" t="s">
        <v>98</v>
      </c>
      <c r="E184" s="7">
        <v>9.43600133E8</v>
      </c>
      <c r="F184" s="7">
        <v>1.0</v>
      </c>
      <c r="G184" s="7" t="s">
        <v>876</v>
      </c>
      <c r="H184" s="7" t="s">
        <v>119</v>
      </c>
      <c r="I184" s="7" t="s">
        <v>101</v>
      </c>
      <c r="J184" s="7" t="s">
        <v>26</v>
      </c>
      <c r="K184" s="7" t="s">
        <v>98</v>
      </c>
      <c r="L184" s="7" t="s">
        <v>98</v>
      </c>
      <c r="M184" s="7" t="s">
        <v>877</v>
      </c>
      <c r="N184" s="7" t="s">
        <v>37</v>
      </c>
      <c r="O184" s="7" t="s">
        <v>38</v>
      </c>
      <c r="P184" s="7" t="s">
        <v>98</v>
      </c>
      <c r="R184" s="7" t="s">
        <v>20</v>
      </c>
    </row>
    <row r="185" ht="22.5" customHeight="1">
      <c r="A185" s="3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19.75"/>
    <col customWidth="1" min="6" max="6" width="18.88"/>
    <col customWidth="1" min="7" max="7" width="37.63"/>
    <col customWidth="1" min="8" max="8" width="26.5"/>
    <col customWidth="1" min="9" max="10" width="37.63"/>
    <col customWidth="1" min="11" max="11" width="22.88"/>
    <col customWidth="1" min="12" max="12" width="23.75"/>
    <col customWidth="1" min="13" max="13" width="35.13"/>
    <col customWidth="1" min="14" max="14" width="37.63"/>
    <col customWidth="1" min="15" max="20" width="18.88"/>
  </cols>
  <sheetData>
    <row r="1" ht="22.5" customHeight="1">
      <c r="A1" s="1" t="s">
        <v>0</v>
      </c>
      <c r="B1" s="1" t="s">
        <v>878</v>
      </c>
      <c r="C1" s="1" t="s">
        <v>879</v>
      </c>
      <c r="D1" s="1" t="s">
        <v>3</v>
      </c>
      <c r="E1" s="1" t="s">
        <v>880</v>
      </c>
      <c r="F1" s="1" t="s">
        <v>6</v>
      </c>
      <c r="G1" s="1" t="s">
        <v>881</v>
      </c>
      <c r="H1" s="1" t="s">
        <v>882</v>
      </c>
      <c r="I1" s="1" t="s">
        <v>10</v>
      </c>
      <c r="J1" s="1" t="s">
        <v>11</v>
      </c>
      <c r="K1" s="1" t="s">
        <v>883</v>
      </c>
      <c r="L1" s="1" t="s">
        <v>13</v>
      </c>
      <c r="M1" s="1" t="s">
        <v>884</v>
      </c>
      <c r="N1" s="1" t="s">
        <v>885</v>
      </c>
    </row>
    <row r="2" ht="22.5" customHeight="1">
      <c r="A2" s="3">
        <v>45968.75758803241</v>
      </c>
      <c r="B2" s="4" t="s">
        <v>150</v>
      </c>
      <c r="C2" s="4" t="s">
        <v>96</v>
      </c>
      <c r="D2" s="4" t="s">
        <v>98</v>
      </c>
      <c r="E2" s="4">
        <v>9.51014121E8</v>
      </c>
      <c r="F2" s="4" t="s">
        <v>886</v>
      </c>
      <c r="G2" s="4" t="s">
        <v>44</v>
      </c>
      <c r="H2" s="4" t="s">
        <v>26</v>
      </c>
      <c r="I2" s="4" t="s">
        <v>98</v>
      </c>
      <c r="J2" s="4" t="s">
        <v>98</v>
      </c>
      <c r="K2" s="4" t="s">
        <v>887</v>
      </c>
      <c r="L2" s="4" t="s">
        <v>888</v>
      </c>
      <c r="M2" s="4" t="s">
        <v>20</v>
      </c>
      <c r="N2" s="4" t="s">
        <v>889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2" max="2" width="16.25"/>
  </cols>
  <sheetData>
    <row r="1">
      <c r="A1" s="11" t="s">
        <v>878</v>
      </c>
    </row>
    <row r="2">
      <c r="A2" s="12">
        <f>IFERROR(__xludf.DUMMYFUNCTION("QUERY({
  {'Respuestas de formulario 1'!A2:A1000};
  {'Respuestas de formulario 2'!A2:A1000}
},
""SELECT * WHERE Col1 IS NOT NULL ORDER BY Col1 ASC"", 0)"),45934.790560532405)</f>
        <v>45934.79056</v>
      </c>
    </row>
    <row r="3">
      <c r="A3" s="12">
        <f>IFERROR(__xludf.DUMMYFUNCTION("""COMPUTED_VALUE"""),45937.73829407407)</f>
        <v>45937.73829</v>
      </c>
    </row>
    <row r="4">
      <c r="A4" s="12">
        <f>IFERROR(__xludf.DUMMYFUNCTION("""COMPUTED_VALUE"""),45938.67267432871)</f>
        <v>45938.67267</v>
      </c>
    </row>
    <row r="5">
      <c r="A5" s="12">
        <f>IFERROR(__xludf.DUMMYFUNCTION("""COMPUTED_VALUE"""),45939.64989482638)</f>
        <v>45939.64989</v>
      </c>
    </row>
    <row r="6">
      <c r="A6" s="12">
        <f>IFERROR(__xludf.DUMMYFUNCTION("""COMPUTED_VALUE"""),45941.52690011574)</f>
        <v>45941.5269</v>
      </c>
    </row>
    <row r="7">
      <c r="A7" s="12">
        <f>IFERROR(__xludf.DUMMYFUNCTION("""COMPUTED_VALUE"""),45943.385884282405)</f>
        <v>45943.38588</v>
      </c>
    </row>
    <row r="8">
      <c r="A8" s="12">
        <f>IFERROR(__xludf.DUMMYFUNCTION("""COMPUTED_VALUE"""),45943.385884282405)</f>
        <v>45943.38588</v>
      </c>
    </row>
    <row r="9">
      <c r="A9" s="12">
        <f>IFERROR(__xludf.DUMMYFUNCTION("""COMPUTED_VALUE"""),45943.995726597226)</f>
        <v>45943.99573</v>
      </c>
    </row>
    <row r="10">
      <c r="A10" s="12">
        <f>IFERROR(__xludf.DUMMYFUNCTION("""COMPUTED_VALUE"""),45945.97038153935)</f>
        <v>45945.97038</v>
      </c>
    </row>
    <row r="11">
      <c r="A11" s="12">
        <f>IFERROR(__xludf.DUMMYFUNCTION("""COMPUTED_VALUE"""),45945.97688392361)</f>
        <v>45945.97688</v>
      </c>
    </row>
    <row r="12">
      <c r="A12" s="12">
        <f>IFERROR(__xludf.DUMMYFUNCTION("""COMPUTED_VALUE"""),45947.60954799769)</f>
        <v>45947.60955</v>
      </c>
    </row>
    <row r="13">
      <c r="A13" s="12">
        <f>IFERROR(__xludf.DUMMYFUNCTION("""COMPUTED_VALUE"""),45950.54256984954)</f>
        <v>45950.54257</v>
      </c>
    </row>
    <row r="14">
      <c r="A14" s="12">
        <f>IFERROR(__xludf.DUMMYFUNCTION("""COMPUTED_VALUE"""),45953.80888664352)</f>
        <v>45953.80889</v>
      </c>
    </row>
    <row r="15">
      <c r="A15" s="12">
        <f>IFERROR(__xludf.DUMMYFUNCTION("""COMPUTED_VALUE"""),45953.81196962963)</f>
        <v>45953.81197</v>
      </c>
    </row>
    <row r="16">
      <c r="A16" s="12">
        <f>IFERROR(__xludf.DUMMYFUNCTION("""COMPUTED_VALUE"""),45953.81456627315)</f>
        <v>45953.81457</v>
      </c>
    </row>
    <row r="17">
      <c r="A17" s="12">
        <f>IFERROR(__xludf.DUMMYFUNCTION("""COMPUTED_VALUE"""),45953.816797719905)</f>
        <v>45953.8168</v>
      </c>
    </row>
    <row r="18">
      <c r="A18" s="12">
        <f>IFERROR(__xludf.DUMMYFUNCTION("""COMPUTED_VALUE"""),45954.59510625)</f>
        <v>45954.59511</v>
      </c>
    </row>
    <row r="19">
      <c r="A19" s="12">
        <f>IFERROR(__xludf.DUMMYFUNCTION("""COMPUTED_VALUE"""),45958.88565387732)</f>
        <v>45958.88565</v>
      </c>
    </row>
    <row r="20">
      <c r="A20" s="12">
        <f>IFERROR(__xludf.DUMMYFUNCTION("""COMPUTED_VALUE"""),45961.58303355324)</f>
        <v>45961.58303</v>
      </c>
    </row>
    <row r="21">
      <c r="A21" s="12">
        <f>IFERROR(__xludf.DUMMYFUNCTION("""COMPUTED_VALUE"""),45964.63594656251)</f>
        <v>45964.63595</v>
      </c>
    </row>
    <row r="22">
      <c r="A22" s="12">
        <f>IFERROR(__xludf.DUMMYFUNCTION("""COMPUTED_VALUE"""),45965.62501748842)</f>
        <v>45965.62502</v>
      </c>
    </row>
    <row r="23">
      <c r="A23" s="12">
        <f>IFERROR(__xludf.DUMMYFUNCTION("""COMPUTED_VALUE"""),45965.697016805556)</f>
        <v>45965.69702</v>
      </c>
    </row>
    <row r="24">
      <c r="A24" s="12">
        <f>IFERROR(__xludf.DUMMYFUNCTION("""COMPUTED_VALUE"""),45965.74292390046)</f>
        <v>45965.74292</v>
      </c>
    </row>
    <row r="25">
      <c r="A25" s="12">
        <f>IFERROR(__xludf.DUMMYFUNCTION("""COMPUTED_VALUE"""),45968.757588032415)</f>
        <v>45968.75759</v>
      </c>
    </row>
    <row r="26">
      <c r="A26" s="12">
        <f>IFERROR(__xludf.DUMMYFUNCTION("""COMPUTED_VALUE"""),45972.38748511574)</f>
        <v>45972.38749</v>
      </c>
    </row>
    <row r="27">
      <c r="A27" s="12">
        <f>IFERROR(__xludf.DUMMYFUNCTION("""COMPUTED_VALUE"""),45972.39089391203)</f>
        <v>45972.39089</v>
      </c>
    </row>
    <row r="28">
      <c r="A28" s="12">
        <f>IFERROR(__xludf.DUMMYFUNCTION("""COMPUTED_VALUE"""),45972.514162569445)</f>
        <v>45972.51416</v>
      </c>
    </row>
    <row r="29">
      <c r="A29" s="12">
        <f>IFERROR(__xludf.DUMMYFUNCTION("""COMPUTED_VALUE"""),45972.918369467596)</f>
        <v>45972.91837</v>
      </c>
    </row>
    <row r="30">
      <c r="A30" s="12">
        <f>IFERROR(__xludf.DUMMYFUNCTION("""COMPUTED_VALUE"""),45975.519363900465)</f>
        <v>45975.51936</v>
      </c>
    </row>
    <row r="31">
      <c r="A31" s="12">
        <f>IFERROR(__xludf.DUMMYFUNCTION("""COMPUTED_VALUE"""),45975.55838398148)</f>
        <v>45975.55838</v>
      </c>
    </row>
    <row r="32">
      <c r="A32" s="12">
        <f>IFERROR(__xludf.DUMMYFUNCTION("""COMPUTED_VALUE"""),45975.56247524305)</f>
        <v>45975.56248</v>
      </c>
    </row>
    <row r="33">
      <c r="A33" s="12">
        <f>IFERROR(__xludf.DUMMYFUNCTION("""COMPUTED_VALUE"""),45975.77407167824)</f>
        <v>45975.77407</v>
      </c>
    </row>
    <row r="34">
      <c r="A34" s="12">
        <f>IFERROR(__xludf.DUMMYFUNCTION("""COMPUTED_VALUE"""),45977.90752806713)</f>
        <v>45977.90753</v>
      </c>
    </row>
    <row r="35">
      <c r="A35" s="12">
        <f>IFERROR(__xludf.DUMMYFUNCTION("""COMPUTED_VALUE"""),45978.86331612269)</f>
        <v>45978.86332</v>
      </c>
    </row>
    <row r="36">
      <c r="A36" s="12">
        <f>IFERROR(__xludf.DUMMYFUNCTION("""COMPUTED_VALUE"""),45979.69035916666)</f>
        <v>45979.69036</v>
      </c>
    </row>
    <row r="37">
      <c r="A37" s="12">
        <f>IFERROR(__xludf.DUMMYFUNCTION("""COMPUTED_VALUE"""),45982.3427324074)</f>
        <v>45982.34273</v>
      </c>
    </row>
    <row r="38">
      <c r="A38" s="12">
        <f>IFERROR(__xludf.DUMMYFUNCTION("""COMPUTED_VALUE"""),45984.88196184028)</f>
        <v>45984.88196</v>
      </c>
    </row>
    <row r="39">
      <c r="A39" s="12">
        <f>IFERROR(__xludf.DUMMYFUNCTION("""COMPUTED_VALUE"""),45985.34241976852)</f>
        <v>45985.34242</v>
      </c>
    </row>
    <row r="40">
      <c r="A40" s="12">
        <f>IFERROR(__xludf.DUMMYFUNCTION("""COMPUTED_VALUE"""),45985.543141319446)</f>
        <v>45985.54314</v>
      </c>
    </row>
    <row r="41">
      <c r="A41" s="12">
        <f>IFERROR(__xludf.DUMMYFUNCTION("""COMPUTED_VALUE"""),45985.570343067135)</f>
        <v>45985.57034</v>
      </c>
    </row>
    <row r="42">
      <c r="A42" s="12">
        <f>IFERROR(__xludf.DUMMYFUNCTION("""COMPUTED_VALUE"""),45985.652143935185)</f>
        <v>45985.65214</v>
      </c>
    </row>
    <row r="43">
      <c r="A43" s="12">
        <f>IFERROR(__xludf.DUMMYFUNCTION("""COMPUTED_VALUE"""),45985.653480891204)</f>
        <v>45985.65348</v>
      </c>
    </row>
    <row r="44">
      <c r="A44" s="12">
        <f>IFERROR(__xludf.DUMMYFUNCTION("""COMPUTED_VALUE"""),45985.662963310184)</f>
        <v>45985.66296</v>
      </c>
    </row>
    <row r="45">
      <c r="A45" s="12">
        <f>IFERROR(__xludf.DUMMYFUNCTION("""COMPUTED_VALUE"""),45985.66669126157)</f>
        <v>45985.66669</v>
      </c>
    </row>
    <row r="46">
      <c r="A46" s="12">
        <f>IFERROR(__xludf.DUMMYFUNCTION("""COMPUTED_VALUE"""),45989.60323292824)</f>
        <v>45989.60323</v>
      </c>
    </row>
    <row r="47">
      <c r="A47" s="12">
        <f>IFERROR(__xludf.DUMMYFUNCTION("""COMPUTED_VALUE"""),45991.59686109953)</f>
        <v>45991.59686</v>
      </c>
    </row>
    <row r="48">
      <c r="A48" s="12">
        <f>IFERROR(__xludf.DUMMYFUNCTION("""COMPUTED_VALUE"""),45991.946338761576)</f>
        <v>45991.94634</v>
      </c>
    </row>
    <row r="49">
      <c r="A49" s="12">
        <f>IFERROR(__xludf.DUMMYFUNCTION("""COMPUTED_VALUE"""),45992.44037244213)</f>
        <v>45992.44037</v>
      </c>
    </row>
    <row r="50">
      <c r="A50" s="12">
        <f>IFERROR(__xludf.DUMMYFUNCTION("""COMPUTED_VALUE"""),45992.52660047454)</f>
        <v>45992.5266</v>
      </c>
    </row>
    <row r="51">
      <c r="A51" s="12">
        <f>IFERROR(__xludf.DUMMYFUNCTION("""COMPUTED_VALUE"""),45992.611291597226)</f>
        <v>45992.61129</v>
      </c>
    </row>
    <row r="52">
      <c r="A52" s="12">
        <f>IFERROR(__xludf.DUMMYFUNCTION("""COMPUTED_VALUE"""),45992.74681293981)</f>
        <v>45992.74681</v>
      </c>
    </row>
    <row r="53">
      <c r="A53" s="12">
        <f>IFERROR(__xludf.DUMMYFUNCTION("""COMPUTED_VALUE"""),45992.752700613426)</f>
        <v>45992.7527</v>
      </c>
    </row>
    <row r="54">
      <c r="A54" s="12">
        <f>IFERROR(__xludf.DUMMYFUNCTION("""COMPUTED_VALUE"""),45992.796751574075)</f>
        <v>45992.79675</v>
      </c>
    </row>
    <row r="55">
      <c r="A55" s="12">
        <f>IFERROR(__xludf.DUMMYFUNCTION("""COMPUTED_VALUE"""),45992.88572131945)</f>
        <v>45992.88572</v>
      </c>
    </row>
    <row r="56">
      <c r="A56" s="12">
        <f>IFERROR(__xludf.DUMMYFUNCTION("""COMPUTED_VALUE"""),45992.89448293982)</f>
        <v>45992.89448</v>
      </c>
    </row>
    <row r="57">
      <c r="A57" s="12">
        <f>IFERROR(__xludf.DUMMYFUNCTION("""COMPUTED_VALUE"""),45992.941031134265)</f>
        <v>45992.94103</v>
      </c>
    </row>
    <row r="58">
      <c r="A58" s="12">
        <f>IFERROR(__xludf.DUMMYFUNCTION("""COMPUTED_VALUE"""),45993.42150151621)</f>
        <v>45993.4215</v>
      </c>
    </row>
    <row r="59">
      <c r="A59" s="12">
        <f>IFERROR(__xludf.DUMMYFUNCTION("""COMPUTED_VALUE"""),45994.40290133102)</f>
        <v>45994.4029</v>
      </c>
    </row>
    <row r="60">
      <c r="A60" s="12">
        <f>IFERROR(__xludf.DUMMYFUNCTION("""COMPUTED_VALUE"""),45994.703185150465)</f>
        <v>45994.70319</v>
      </c>
    </row>
    <row r="61">
      <c r="A61" s="12">
        <f>IFERROR(__xludf.DUMMYFUNCTION("""COMPUTED_VALUE"""),45996.08434457176)</f>
        <v>45996.08434</v>
      </c>
    </row>
    <row r="62">
      <c r="A62" s="12">
        <f>IFERROR(__xludf.DUMMYFUNCTION("""COMPUTED_VALUE"""),45996.37614612268)</f>
        <v>45996.37615</v>
      </c>
    </row>
    <row r="63">
      <c r="A63" s="12">
        <f>IFERROR(__xludf.DUMMYFUNCTION("""COMPUTED_VALUE"""),45997.967839432866)</f>
        <v>45997.96784</v>
      </c>
    </row>
    <row r="64">
      <c r="A64" s="12">
        <f>IFERROR(__xludf.DUMMYFUNCTION("""COMPUTED_VALUE"""),45997.99431826389)</f>
        <v>45997.99432</v>
      </c>
    </row>
    <row r="65">
      <c r="A65" s="12">
        <f>IFERROR(__xludf.DUMMYFUNCTION("""COMPUTED_VALUE"""),45997.99873773148)</f>
        <v>45997.99874</v>
      </c>
    </row>
    <row r="66">
      <c r="A66" s="12">
        <f>IFERROR(__xludf.DUMMYFUNCTION("""COMPUTED_VALUE"""),45997.99949135417)</f>
        <v>45997.99949</v>
      </c>
    </row>
    <row r="67">
      <c r="A67" s="12">
        <f>IFERROR(__xludf.DUMMYFUNCTION("""COMPUTED_VALUE"""),45998.00461496528)</f>
        <v>45998.00461</v>
      </c>
    </row>
    <row r="68">
      <c r="A68" s="12">
        <f>IFERROR(__xludf.DUMMYFUNCTION("""COMPUTED_VALUE"""),45998.01412126157)</f>
        <v>45998.01412</v>
      </c>
    </row>
    <row r="69">
      <c r="A69" s="12">
        <f>IFERROR(__xludf.DUMMYFUNCTION("""COMPUTED_VALUE"""),45998.02624777778)</f>
        <v>45998.02625</v>
      </c>
    </row>
    <row r="70">
      <c r="A70" s="12">
        <f>IFERROR(__xludf.DUMMYFUNCTION("""COMPUTED_VALUE"""),45998.03381967593)</f>
        <v>45998.03382</v>
      </c>
    </row>
    <row r="71">
      <c r="A71" s="12">
        <f>IFERROR(__xludf.DUMMYFUNCTION("""COMPUTED_VALUE"""),45998.03920590278)</f>
        <v>45998.03921</v>
      </c>
    </row>
    <row r="72">
      <c r="A72" s="12">
        <f>IFERROR(__xludf.DUMMYFUNCTION("""COMPUTED_VALUE"""),45998.04320738426)</f>
        <v>45998.04321</v>
      </c>
    </row>
    <row r="73">
      <c r="A73" s="12">
        <f>IFERROR(__xludf.DUMMYFUNCTION("""COMPUTED_VALUE"""),45998.0542359375)</f>
        <v>45998.05424</v>
      </c>
    </row>
    <row r="74">
      <c r="A74" s="12">
        <f>IFERROR(__xludf.DUMMYFUNCTION("""COMPUTED_VALUE"""),45998.716929270835)</f>
        <v>45998.71693</v>
      </c>
    </row>
    <row r="75">
      <c r="A75" s="12">
        <f>IFERROR(__xludf.DUMMYFUNCTION("""COMPUTED_VALUE"""),45999.959758020836)</f>
        <v>45999.95976</v>
      </c>
    </row>
    <row r="76">
      <c r="A76" s="12">
        <f>IFERROR(__xludf.DUMMYFUNCTION("""COMPUTED_VALUE"""),46000.74898435185)</f>
        <v>46000.74898</v>
      </c>
    </row>
    <row r="77">
      <c r="A77" s="12">
        <f>IFERROR(__xludf.DUMMYFUNCTION("""COMPUTED_VALUE"""),46000.91389085648)</f>
        <v>46000.91389</v>
      </c>
    </row>
    <row r="78">
      <c r="A78" s="12">
        <f>IFERROR(__xludf.DUMMYFUNCTION("""COMPUTED_VALUE"""),46000.9907421875)</f>
        <v>46000.99074</v>
      </c>
    </row>
    <row r="79">
      <c r="A79" s="12">
        <f>IFERROR(__xludf.DUMMYFUNCTION("""COMPUTED_VALUE"""),46001.38644100694)</f>
        <v>46001.38644</v>
      </c>
    </row>
    <row r="80">
      <c r="A80" s="12">
        <f>IFERROR(__xludf.DUMMYFUNCTION("""COMPUTED_VALUE"""),46001.38714549768)</f>
        <v>46001.38715</v>
      </c>
    </row>
    <row r="81">
      <c r="A81" s="12">
        <f>IFERROR(__xludf.DUMMYFUNCTION("""COMPUTED_VALUE"""),46001.44046106481)</f>
        <v>46001.44046</v>
      </c>
    </row>
    <row r="82">
      <c r="A82" s="12">
        <f>IFERROR(__xludf.DUMMYFUNCTION("""COMPUTED_VALUE"""),46001.528608472225)</f>
        <v>46001.52861</v>
      </c>
    </row>
    <row r="83">
      <c r="A83" s="12">
        <f>IFERROR(__xludf.DUMMYFUNCTION("""COMPUTED_VALUE"""),46001.56947630787)</f>
        <v>46001.56948</v>
      </c>
    </row>
    <row r="84">
      <c r="A84" s="12">
        <f>IFERROR(__xludf.DUMMYFUNCTION("""COMPUTED_VALUE"""),46001.751399583336)</f>
        <v>46001.7514</v>
      </c>
    </row>
    <row r="85">
      <c r="A85" s="12">
        <f>IFERROR(__xludf.DUMMYFUNCTION("""COMPUTED_VALUE"""),46002.57988420139)</f>
        <v>46002.57988</v>
      </c>
    </row>
    <row r="86">
      <c r="A86" s="12">
        <f>IFERROR(__xludf.DUMMYFUNCTION("""COMPUTED_VALUE"""),46003.753677546294)</f>
        <v>46003.75368</v>
      </c>
    </row>
    <row r="87">
      <c r="A87" s="12">
        <f>IFERROR(__xludf.DUMMYFUNCTION("""COMPUTED_VALUE"""),46003.88009569444)</f>
        <v>46003.8801</v>
      </c>
    </row>
    <row r="88">
      <c r="A88" s="12">
        <f>IFERROR(__xludf.DUMMYFUNCTION("""COMPUTED_VALUE"""),46004.419876053245)</f>
        <v>46004.41988</v>
      </c>
    </row>
    <row r="89">
      <c r="A89" s="12">
        <f>IFERROR(__xludf.DUMMYFUNCTION("""COMPUTED_VALUE"""),46006.94443978009)</f>
        <v>46006.94444</v>
      </c>
    </row>
    <row r="90">
      <c r="A90" s="12">
        <f>IFERROR(__xludf.DUMMYFUNCTION("""COMPUTED_VALUE"""),46008.05054085648)</f>
        <v>46008.05054</v>
      </c>
    </row>
    <row r="91">
      <c r="A91" s="12">
        <f>IFERROR(__xludf.DUMMYFUNCTION("""COMPUTED_VALUE"""),46008.4343575)</f>
        <v>46008.43436</v>
      </c>
    </row>
    <row r="92">
      <c r="A92" s="12">
        <f>IFERROR(__xludf.DUMMYFUNCTION("""COMPUTED_VALUE"""),46010.76938835648)</f>
        <v>46010.76939</v>
      </c>
    </row>
    <row r="93">
      <c r="A93" s="12">
        <f>IFERROR(__xludf.DUMMYFUNCTION("""COMPUTED_VALUE"""),46010.853149710645)</f>
        <v>46010.85315</v>
      </c>
    </row>
    <row r="94">
      <c r="A94" s="12">
        <f>IFERROR(__xludf.DUMMYFUNCTION("""COMPUTED_VALUE"""),46012.33208513889)</f>
        <v>46012.33209</v>
      </c>
    </row>
    <row r="95">
      <c r="A95" s="12">
        <f>IFERROR(__xludf.DUMMYFUNCTION("""COMPUTED_VALUE"""),46017.45048943287)</f>
        <v>46017.45049</v>
      </c>
    </row>
    <row r="96">
      <c r="A96" s="12">
        <f>IFERROR(__xludf.DUMMYFUNCTION("""COMPUTED_VALUE"""),46034.32908023149)</f>
        <v>46034.32908</v>
      </c>
    </row>
    <row r="97">
      <c r="A97" s="12">
        <f>IFERROR(__xludf.DUMMYFUNCTION("""COMPUTED_VALUE"""),46043.84399903935)</f>
        <v>46043.844</v>
      </c>
    </row>
    <row r="98">
      <c r="A98" s="12">
        <f>IFERROR(__xludf.DUMMYFUNCTION("""COMPUTED_VALUE"""),46045.52108493056)</f>
        <v>46045.52108</v>
      </c>
    </row>
    <row r="99">
      <c r="A99" s="12">
        <f>IFERROR(__xludf.DUMMYFUNCTION("""COMPUTED_VALUE"""),46045.5334641088)</f>
        <v>46045.53346</v>
      </c>
    </row>
    <row r="100">
      <c r="A100" s="12">
        <f>IFERROR(__xludf.DUMMYFUNCTION("""COMPUTED_VALUE"""),46045.63538689815)</f>
        <v>46045.63539</v>
      </c>
    </row>
    <row r="101">
      <c r="A101" s="12">
        <f>IFERROR(__xludf.DUMMYFUNCTION("""COMPUTED_VALUE"""),46047.76332913194)</f>
        <v>46047.76333</v>
      </c>
    </row>
    <row r="102">
      <c r="A102" s="12">
        <f>IFERROR(__xludf.DUMMYFUNCTION("""COMPUTED_VALUE"""),46052.550475787044)</f>
        <v>46052.55048</v>
      </c>
    </row>
    <row r="103">
      <c r="A103" s="12">
        <f>IFERROR(__xludf.DUMMYFUNCTION("""COMPUTED_VALUE"""),46052.78660302083)</f>
        <v>46052.7866</v>
      </c>
    </row>
    <row r="104">
      <c r="A104" s="12">
        <f>IFERROR(__xludf.DUMMYFUNCTION("""COMPUTED_VALUE"""),46053.93332881944)</f>
        <v>46053.93333</v>
      </c>
    </row>
    <row r="105">
      <c r="A105" s="12">
        <f>IFERROR(__xludf.DUMMYFUNCTION("""COMPUTED_VALUE"""),46053.936287847224)</f>
        <v>46053.93629</v>
      </c>
    </row>
    <row r="106">
      <c r="A106" s="12">
        <f>IFERROR(__xludf.DUMMYFUNCTION("""COMPUTED_VALUE"""),46055.599529583335)</f>
        <v>46055.59953</v>
      </c>
    </row>
    <row r="107">
      <c r="A107" s="12">
        <f>IFERROR(__xludf.DUMMYFUNCTION("""COMPUTED_VALUE"""),46055.939385254635)</f>
        <v>46055.93939</v>
      </c>
    </row>
    <row r="108">
      <c r="A108" s="12">
        <f>IFERROR(__xludf.DUMMYFUNCTION("""COMPUTED_VALUE"""),46058.69166391204)</f>
        <v>46058.69166</v>
      </c>
    </row>
    <row r="109">
      <c r="A109" s="12">
        <f>IFERROR(__xludf.DUMMYFUNCTION("""COMPUTED_VALUE"""),46059.63760405093)</f>
        <v>46059.6376</v>
      </c>
    </row>
    <row r="110">
      <c r="A110" s="12">
        <f>IFERROR(__xludf.DUMMYFUNCTION("""COMPUTED_VALUE"""),46060.469225879635)</f>
        <v>46060.46923</v>
      </c>
    </row>
    <row r="111">
      <c r="A111" s="12">
        <f>IFERROR(__xludf.DUMMYFUNCTION("""COMPUTED_VALUE"""),46060.85715615741)</f>
        <v>46060.85716</v>
      </c>
    </row>
    <row r="112">
      <c r="A112" s="12">
        <f>IFERROR(__xludf.DUMMYFUNCTION("""COMPUTED_VALUE"""),46062.76844171296)</f>
        <v>46062.76844</v>
      </c>
    </row>
    <row r="113">
      <c r="A113" s="12">
        <f>IFERROR(__xludf.DUMMYFUNCTION("""COMPUTED_VALUE"""),46063.50733141204)</f>
        <v>46063.50733</v>
      </c>
    </row>
    <row r="114">
      <c r="A114" s="12">
        <f>IFERROR(__xludf.DUMMYFUNCTION("""COMPUTED_VALUE"""),46064.870556574075)</f>
        <v>46064.87056</v>
      </c>
    </row>
    <row r="115">
      <c r="A115" s="12">
        <f>IFERROR(__xludf.DUMMYFUNCTION("""COMPUTED_VALUE"""),46065.98417893519)</f>
        <v>46065.98418</v>
      </c>
    </row>
    <row r="116">
      <c r="A116" s="12">
        <f>IFERROR(__xludf.DUMMYFUNCTION("""COMPUTED_VALUE"""),46067.91058885417)</f>
        <v>46067.91059</v>
      </c>
    </row>
    <row r="117">
      <c r="A117" s="12">
        <f>IFERROR(__xludf.DUMMYFUNCTION("""COMPUTED_VALUE"""),46071.82546137732)</f>
        <v>46071.82546</v>
      </c>
    </row>
    <row r="118">
      <c r="A118" s="12">
        <f>IFERROR(__xludf.DUMMYFUNCTION("""COMPUTED_VALUE"""),46075.88617890046)</f>
        <v>46075.88618</v>
      </c>
    </row>
    <row r="119">
      <c r="A119" s="12">
        <f>IFERROR(__xludf.DUMMYFUNCTION("""COMPUTED_VALUE"""),46075.92367549769)</f>
        <v>46075.92368</v>
      </c>
    </row>
    <row r="120">
      <c r="A120" s="12">
        <f>IFERROR(__xludf.DUMMYFUNCTION("""COMPUTED_VALUE"""),46077.93813628472)</f>
        <v>46077.93814</v>
      </c>
    </row>
    <row r="121">
      <c r="A121" s="12">
        <f>IFERROR(__xludf.DUMMYFUNCTION("""COMPUTED_VALUE"""),46086.882473136575)</f>
        <v>46086.88247</v>
      </c>
    </row>
    <row r="122">
      <c r="A122" s="12">
        <f>IFERROR(__xludf.DUMMYFUNCTION("""COMPUTED_VALUE"""),46088.48840887731)</f>
        <v>46088.48841</v>
      </c>
    </row>
    <row r="123">
      <c r="A123" s="12">
        <f>IFERROR(__xludf.DUMMYFUNCTION("""COMPUTED_VALUE"""),46090.48949818288)</f>
        <v>46090.4895</v>
      </c>
    </row>
    <row r="124">
      <c r="A124" s="12">
        <f>IFERROR(__xludf.DUMMYFUNCTION("""COMPUTED_VALUE"""),46090.600622060185)</f>
        <v>46090.60062</v>
      </c>
    </row>
    <row r="125">
      <c r="A125" s="12">
        <f>IFERROR(__xludf.DUMMYFUNCTION("""COMPUTED_VALUE"""),46090.60376589121)</f>
        <v>46090.60377</v>
      </c>
    </row>
    <row r="126">
      <c r="A126" s="12">
        <f>IFERROR(__xludf.DUMMYFUNCTION("""COMPUTED_VALUE"""),46092.558420960646)</f>
        <v>46092.55842</v>
      </c>
    </row>
    <row r="127">
      <c r="A127" s="12">
        <f>IFERROR(__xludf.DUMMYFUNCTION("""COMPUTED_VALUE"""),46092.94591877314)</f>
        <v>46092.94592</v>
      </c>
    </row>
    <row r="128">
      <c r="A128" s="12">
        <f>IFERROR(__xludf.DUMMYFUNCTION("""COMPUTED_VALUE"""),46093.41257476852)</f>
        <v>46093.41257</v>
      </c>
    </row>
    <row r="129">
      <c r="A129" s="12">
        <f>IFERROR(__xludf.DUMMYFUNCTION("""COMPUTED_VALUE"""),46093.56272667824)</f>
        <v>46093.56273</v>
      </c>
    </row>
    <row r="130">
      <c r="A130" s="12">
        <f>IFERROR(__xludf.DUMMYFUNCTION("""COMPUTED_VALUE"""),46093.65607444444)</f>
        <v>46093.65607</v>
      </c>
    </row>
    <row r="131">
      <c r="A131" s="12">
        <f>IFERROR(__xludf.DUMMYFUNCTION("""COMPUTED_VALUE"""),46093.86360265047)</f>
        <v>46093.8636</v>
      </c>
    </row>
    <row r="132">
      <c r="A132" s="12">
        <f>IFERROR(__xludf.DUMMYFUNCTION("""COMPUTED_VALUE"""),46093.91347318287)</f>
        <v>46093.91347</v>
      </c>
    </row>
    <row r="133">
      <c r="A133" s="12">
        <f>IFERROR(__xludf.DUMMYFUNCTION("""COMPUTED_VALUE"""),46098.38503020833)</f>
        <v>46098.38503</v>
      </c>
    </row>
    <row r="134">
      <c r="A134" s="12">
        <f>IFERROR(__xludf.DUMMYFUNCTION("""COMPUTED_VALUE"""),46098.58898648148)</f>
        <v>46098.58899</v>
      </c>
    </row>
    <row r="135">
      <c r="A135" s="12">
        <f>IFERROR(__xludf.DUMMYFUNCTION("""COMPUTED_VALUE"""),46101.61649043982)</f>
        <v>46101.61649</v>
      </c>
    </row>
    <row r="136">
      <c r="A136" s="12">
        <f>IFERROR(__xludf.DUMMYFUNCTION("""COMPUTED_VALUE"""),46105.614229108796)</f>
        <v>46105.61423</v>
      </c>
    </row>
    <row r="137">
      <c r="A137" s="12">
        <f>IFERROR(__xludf.DUMMYFUNCTION("""COMPUTED_VALUE"""),46107.66837269676)</f>
        <v>46107.66837</v>
      </c>
    </row>
    <row r="138">
      <c r="A138" s="12">
        <f>IFERROR(__xludf.DUMMYFUNCTION("""COMPUTED_VALUE"""),46113.64990096065)</f>
        <v>46113.6499</v>
      </c>
    </row>
    <row r="139">
      <c r="A139" s="12">
        <f>IFERROR(__xludf.DUMMYFUNCTION("""COMPUTED_VALUE"""),46116.41185362268)</f>
        <v>46116.41185</v>
      </c>
    </row>
    <row r="140">
      <c r="A140" s="12">
        <f>IFERROR(__xludf.DUMMYFUNCTION("""COMPUTED_VALUE"""),46117.73297557871)</f>
        <v>46117.73298</v>
      </c>
    </row>
    <row r="141">
      <c r="A141" s="12">
        <f>IFERROR(__xludf.DUMMYFUNCTION("""COMPUTED_VALUE"""),46117.83338417824)</f>
        <v>46117.83338</v>
      </c>
    </row>
    <row r="142">
      <c r="A142" s="12">
        <f>IFERROR(__xludf.DUMMYFUNCTION("""COMPUTED_VALUE"""),46121.77767717592)</f>
        <v>46121.77768</v>
      </c>
    </row>
    <row r="143">
      <c r="A143" s="12">
        <f>IFERROR(__xludf.DUMMYFUNCTION("""COMPUTED_VALUE"""),46125.77523767362)</f>
        <v>46125.77524</v>
      </c>
    </row>
    <row r="144">
      <c r="A144" s="12">
        <f>IFERROR(__xludf.DUMMYFUNCTION("""COMPUTED_VALUE"""),46126.543438831024)</f>
        <v>46126.54344</v>
      </c>
    </row>
    <row r="145">
      <c r="A145" s="12">
        <f>IFERROR(__xludf.DUMMYFUNCTION("""COMPUTED_VALUE"""),46129.51514109954)</f>
        <v>46129.51514</v>
      </c>
    </row>
    <row r="146">
      <c r="A146" s="12">
        <f>IFERROR(__xludf.DUMMYFUNCTION("""COMPUTED_VALUE"""),46130.73474929398)</f>
        <v>46130.73475</v>
      </c>
    </row>
    <row r="147">
      <c r="A147" s="12">
        <f>IFERROR(__xludf.DUMMYFUNCTION("""COMPUTED_VALUE"""),46132.61729371528)</f>
        <v>46132.61729</v>
      </c>
    </row>
    <row r="148">
      <c r="A148" s="12">
        <f>IFERROR(__xludf.DUMMYFUNCTION("""COMPUTED_VALUE"""),46132.7253296412)</f>
        <v>46132.72533</v>
      </c>
    </row>
    <row r="149">
      <c r="A149" s="12">
        <f>IFERROR(__xludf.DUMMYFUNCTION("""COMPUTED_VALUE"""),46132.72643643519)</f>
        <v>46132.72644</v>
      </c>
    </row>
    <row r="150">
      <c r="A150" s="12">
        <f>IFERROR(__xludf.DUMMYFUNCTION("""COMPUTED_VALUE"""),46134.4140882639)</f>
        <v>46134.41409</v>
      </c>
    </row>
    <row r="151">
      <c r="A151" s="12">
        <f>IFERROR(__xludf.DUMMYFUNCTION("""COMPUTED_VALUE"""),46138.50346465278)</f>
        <v>46138.50346</v>
      </c>
    </row>
    <row r="152">
      <c r="A152" s="12">
        <f>IFERROR(__xludf.DUMMYFUNCTION("""COMPUTED_VALUE"""),46139.699917847225)</f>
        <v>46139.69992</v>
      </c>
    </row>
    <row r="153">
      <c r="A153" s="12">
        <f>IFERROR(__xludf.DUMMYFUNCTION("""COMPUTED_VALUE"""),46139.92451835648)</f>
        <v>46139.92452</v>
      </c>
    </row>
    <row r="154">
      <c r="A154" s="12">
        <f>IFERROR(__xludf.DUMMYFUNCTION("""COMPUTED_VALUE"""),46139.92875384259)</f>
        <v>46139.92875</v>
      </c>
    </row>
    <row r="155">
      <c r="A155" s="12">
        <f>IFERROR(__xludf.DUMMYFUNCTION("""COMPUTED_VALUE"""),46139.931134212966)</f>
        <v>46139.93113</v>
      </c>
    </row>
    <row r="156">
      <c r="A156" s="12">
        <f>IFERROR(__xludf.DUMMYFUNCTION("""COMPUTED_VALUE"""),46141.526571250004)</f>
        <v>46141.52657</v>
      </c>
    </row>
    <row r="157">
      <c r="A157" s="12">
        <f>IFERROR(__xludf.DUMMYFUNCTION("""COMPUTED_VALUE"""),46141.66239168982)</f>
        <v>46141.66239</v>
      </c>
    </row>
    <row r="158">
      <c r="A158" s="12">
        <f>IFERROR(__xludf.DUMMYFUNCTION("""COMPUTED_VALUE"""),46143.69023826389)</f>
        <v>46143.69024</v>
      </c>
    </row>
    <row r="159">
      <c r="A159" s="12">
        <f>IFERROR(__xludf.DUMMYFUNCTION("""COMPUTED_VALUE"""),46143.7311800463)</f>
        <v>46143.73118</v>
      </c>
    </row>
    <row r="160">
      <c r="A160" s="12">
        <f>IFERROR(__xludf.DUMMYFUNCTION("""COMPUTED_VALUE"""),46144.481899178245)</f>
        <v>46144.4819</v>
      </c>
    </row>
    <row r="161">
      <c r="A161" s="12">
        <f>IFERROR(__xludf.DUMMYFUNCTION("""COMPUTED_VALUE"""),46144.613850254624)</f>
        <v>46144.61385</v>
      </c>
    </row>
    <row r="162">
      <c r="A162" s="12">
        <f>IFERROR(__xludf.DUMMYFUNCTION("""COMPUTED_VALUE"""),46145.86661135416)</f>
        <v>46145.86661</v>
      </c>
    </row>
    <row r="163">
      <c r="A163" s="12">
        <f>IFERROR(__xludf.DUMMYFUNCTION("""COMPUTED_VALUE"""),46145.88400216435)</f>
        <v>46145.884</v>
      </c>
    </row>
    <row r="164">
      <c r="A164" s="12">
        <f>IFERROR(__xludf.DUMMYFUNCTION("""COMPUTED_VALUE"""),46145.88490305556)</f>
        <v>46145.8849</v>
      </c>
    </row>
    <row r="165">
      <c r="A165" s="12">
        <f>IFERROR(__xludf.DUMMYFUNCTION("""COMPUTED_VALUE"""),46146.79392909722)</f>
        <v>46146.79393</v>
      </c>
    </row>
    <row r="166">
      <c r="A166" s="12">
        <f>IFERROR(__xludf.DUMMYFUNCTION("""COMPUTED_VALUE"""),46146.904926284726)</f>
        <v>46146.90493</v>
      </c>
    </row>
    <row r="167">
      <c r="A167" s="12">
        <f>IFERROR(__xludf.DUMMYFUNCTION("""COMPUTED_VALUE"""),46146.95939817129)</f>
        <v>46146.9594</v>
      </c>
    </row>
    <row r="168">
      <c r="A168" s="12">
        <f>IFERROR(__xludf.DUMMYFUNCTION("""COMPUTED_VALUE"""),46146.96377351852)</f>
        <v>46146.96377</v>
      </c>
    </row>
    <row r="169">
      <c r="A169" s="12">
        <f>IFERROR(__xludf.DUMMYFUNCTION("""COMPUTED_VALUE"""),46146.96656548612)</f>
        <v>46146.96657</v>
      </c>
    </row>
    <row r="170">
      <c r="A170" s="12">
        <f>IFERROR(__xludf.DUMMYFUNCTION("""COMPUTED_VALUE"""),46146.96830436343)</f>
        <v>46146.9683</v>
      </c>
    </row>
    <row r="171">
      <c r="A171" s="12">
        <f>IFERROR(__xludf.DUMMYFUNCTION("""COMPUTED_VALUE"""),46146.971213460645)</f>
        <v>46146.97121</v>
      </c>
    </row>
    <row r="172">
      <c r="A172" s="12">
        <f>IFERROR(__xludf.DUMMYFUNCTION("""COMPUTED_VALUE"""),46146.99958141204)</f>
        <v>46146.99958</v>
      </c>
    </row>
    <row r="173">
      <c r="A173" s="12">
        <f>IFERROR(__xludf.DUMMYFUNCTION("""COMPUTED_VALUE"""),46147.602843773144)</f>
        <v>46147.60284</v>
      </c>
    </row>
    <row r="174">
      <c r="A174" s="12">
        <f>IFERROR(__xludf.DUMMYFUNCTION("""COMPUTED_VALUE"""),46148.370392476856)</f>
        <v>46148.37039</v>
      </c>
    </row>
    <row r="175">
      <c r="A175" s="12">
        <f>IFERROR(__xludf.DUMMYFUNCTION("""COMPUTED_VALUE"""),46151.4629103588)</f>
        <v>46151.46291</v>
      </c>
    </row>
    <row r="176">
      <c r="A176" s="12">
        <f>IFERROR(__xludf.DUMMYFUNCTION("""COMPUTED_VALUE"""),46151.468204317134)</f>
        <v>46151.4682</v>
      </c>
    </row>
    <row r="177">
      <c r="A177" s="12">
        <f>IFERROR(__xludf.DUMMYFUNCTION("""COMPUTED_VALUE"""),46153.6964327199)</f>
        <v>46153.69643</v>
      </c>
    </row>
    <row r="178">
      <c r="A178" s="12">
        <f>IFERROR(__xludf.DUMMYFUNCTION("""COMPUTED_VALUE"""),46155.89097226852)</f>
        <v>46155.89097</v>
      </c>
    </row>
    <row r="179">
      <c r="A179" s="12">
        <f>IFERROR(__xludf.DUMMYFUNCTION("""COMPUTED_VALUE"""),46156.54104988426)</f>
        <v>46156.54105</v>
      </c>
    </row>
    <row r="180">
      <c r="A180" s="12">
        <f>IFERROR(__xludf.DUMMYFUNCTION("""COMPUTED_VALUE"""),46156.547873414354)</f>
        <v>46156.54787</v>
      </c>
    </row>
    <row r="181">
      <c r="A181" s="12">
        <f>IFERROR(__xludf.DUMMYFUNCTION("""COMPUTED_VALUE"""),46156.56205663195)</f>
        <v>46156.56206</v>
      </c>
    </row>
    <row r="182">
      <c r="A182" s="12">
        <f>IFERROR(__xludf.DUMMYFUNCTION("""COMPUTED_VALUE"""),46156.58323775463)</f>
        <v>46156.58324</v>
      </c>
    </row>
    <row r="183">
      <c r="A183" s="12">
        <f>IFERROR(__xludf.DUMMYFUNCTION("""COMPUTED_VALUE"""),46156.58871142361)</f>
        <v>46156.58871</v>
      </c>
    </row>
    <row r="184">
      <c r="A184" s="12">
        <f>IFERROR(__xludf.DUMMYFUNCTION("""COMPUTED_VALUE"""),46156.60114672454)</f>
        <v>46156.60115</v>
      </c>
    </row>
    <row r="185">
      <c r="A185" s="12">
        <f>IFERROR(__xludf.DUMMYFUNCTION("""COMPUTED_VALUE"""),46156.617390636566)</f>
        <v>46156.61739</v>
      </c>
    </row>
  </sheetData>
  <drawing r:id="rId1"/>
</worksheet>
</file>