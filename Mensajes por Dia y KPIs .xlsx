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<sst xmlns="http://schemas.openxmlformats.org/spreadsheetml/2006/main" count="8" uniqueCount="8">
  <si>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Fecha</t>
  </si>
  <si>
    <t>Mensajes Whatspp Recibidos</t>
  </si>
  <si>
    <t>Ventas Cerradas</t>
  </si>
  <si>
    <t>Ticket Promedio Venta</t>
  </si>
  <si>
    <t>Inversion Meta del dia</t>
  </si>
  <si>
    <t>Costo/Mensaje Real</t>
  </si>
  <si>
    <t>Costo/Venta Real</t>
  </si>
  <si>
    <t>ROAS (ingresos/inversion)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</si>
</sst>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46129.0</v>
      </c>
      <c r="B2" s="1">
        <v>9.0</v>
      </c>
      <c r="C2" s="1">
        <v>1.0</v>
      </c>
      <c r="D2" s="1">
        <v>99.0</v>
      </c>
      <c r="E2" s="1">
        <f>10.47+5.36</f>
        <v>15.83</v>
      </c>
      <c r="F2" s="3">
        <f t="shared" ref="F2:F48" si="1">E2/B2</f>
        <v>1.758888889</v>
      </c>
      <c r="G2" s="3">
        <f>E2/D2</f>
        <v>0.1598989899</v>
      </c>
      <c r="H2" s="3">
        <f>D2/E2</f>
        <v>6.2539482</v>
      </c>
    </row>
    <row r="3">
      <c r="A3" s="2">
        <v>46128.0</v>
      </c>
      <c r="B3" s="1">
        <v>5.0</v>
      </c>
      <c r="C3" s="1">
        <v>0.0</v>
      </c>
      <c r="D3" s="1">
        <v>0.0</v>
      </c>
      <c r="E3" s="1">
        <f>24.98+9.13</f>
        <v>34.11</v>
      </c>
      <c r="F3" s="3">
        <f t="shared" si="1"/>
        <v>6.822</v>
      </c>
      <c r="G3" s="4">
        <v>0.0</v>
      </c>
      <c r="H3" s="4">
        <v>0.0</v>
      </c>
    </row>
    <row r="4">
      <c r="A4" s="2">
        <v>46127.0</v>
      </c>
      <c r="B4" s="1">
        <v>7.0</v>
      </c>
      <c r="C4" s="1">
        <v>0.0</v>
      </c>
      <c r="D4" s="1">
        <v>0.0</v>
      </c>
      <c r="E4" s="1">
        <f>21.85+9.57</f>
        <v>31.42</v>
      </c>
      <c r="F4" s="3">
        <f t="shared" si="1"/>
        <v>4.488571429</v>
      </c>
      <c r="G4" s="4">
        <v>0.0</v>
      </c>
      <c r="H4" s="4">
        <v>0.0</v>
      </c>
    </row>
    <row r="5">
      <c r="A5" s="2">
        <v>46126.0</v>
      </c>
      <c r="B5" s="1">
        <v>9.0</v>
      </c>
      <c r="C5" s="1">
        <v>0.0</v>
      </c>
      <c r="D5" s="1">
        <v>0.0</v>
      </c>
      <c r="E5" s="1">
        <f>21.89+5.49</f>
        <v>27.38</v>
      </c>
      <c r="F5" s="3">
        <f t="shared" si="1"/>
        <v>3.042222222</v>
      </c>
      <c r="G5" s="4">
        <v>0.0</v>
      </c>
      <c r="H5" s="4">
        <v>0.0</v>
      </c>
    </row>
    <row r="6">
      <c r="A6" s="2">
        <v>46125.0</v>
      </c>
      <c r="B6" s="1">
        <v>24.0</v>
      </c>
      <c r="C6" s="1">
        <v>1.0</v>
      </c>
      <c r="D6" s="1">
        <v>69.0</v>
      </c>
      <c r="E6" s="5">
        <f>18.36+21.68</f>
        <v>40.04</v>
      </c>
      <c r="F6" s="3">
        <f t="shared" si="1"/>
        <v>1.668333333</v>
      </c>
      <c r="G6" s="3">
        <f t="shared" ref="G6:G7" si="2">E6/D6</f>
        <v>0.5802898551</v>
      </c>
      <c r="H6" s="3">
        <f t="shared" ref="H6:H8" si="3">D6/E6</f>
        <v>1.723276723</v>
      </c>
    </row>
    <row r="7">
      <c r="A7" s="2">
        <v>46124.0</v>
      </c>
      <c r="B7" s="1">
        <v>4.0</v>
      </c>
      <c r="C7" s="1">
        <v>1.0</v>
      </c>
      <c r="D7" s="1">
        <v>49.0</v>
      </c>
      <c r="E7" s="1">
        <f>22.13+17.46</f>
        <v>39.59</v>
      </c>
      <c r="F7" s="3">
        <f t="shared" si="1"/>
        <v>9.8975</v>
      </c>
      <c r="G7" s="3">
        <f t="shared" si="2"/>
        <v>0.8079591837</v>
      </c>
      <c r="H7" s="3">
        <f t="shared" si="3"/>
        <v>1.237686284</v>
      </c>
    </row>
    <row r="8">
      <c r="A8" s="2">
        <v>46123.0</v>
      </c>
      <c r="B8" s="1">
        <v>36.0</v>
      </c>
      <c r="C8" s="1">
        <v>0.0</v>
      </c>
      <c r="D8" s="1">
        <v>0.0</v>
      </c>
      <c r="E8" s="1">
        <f>19.09+19.35</f>
        <v>38.44</v>
      </c>
      <c r="F8" s="3">
        <f t="shared" si="1"/>
        <v>1.067777778</v>
      </c>
      <c r="G8" s="4">
        <v>0.0</v>
      </c>
      <c r="H8" s="3">
        <f t="shared" si="3"/>
        <v>0</v>
      </c>
    </row>
    <row r="9">
      <c r="A9" s="2">
        <v>46122.0</v>
      </c>
      <c r="B9" s="1">
        <v>7.0</v>
      </c>
      <c r="C9" s="1">
        <v>0.0</v>
      </c>
      <c r="D9" s="1">
        <v>0.0</v>
      </c>
      <c r="E9" s="1">
        <f>14.63+14.84</f>
        <v>29.47</v>
      </c>
      <c r="F9" s="3">
        <f t="shared" si="1"/>
        <v>4.21</v>
      </c>
      <c r="G9" s="4">
        <v>0.0</v>
      </c>
      <c r="H9" s="4">
        <v>0.0</v>
      </c>
    </row>
    <row r="10">
      <c r="A10" s="2">
        <v>46121.0</v>
      </c>
      <c r="B10" s="1">
        <v>10.0</v>
      </c>
      <c r="C10" s="1">
        <v>1.0</v>
      </c>
      <c r="D10" s="1">
        <f>69+50</f>
        <v>119</v>
      </c>
      <c r="E10" s="1">
        <f>18.38+17.25</f>
        <v>35.63</v>
      </c>
      <c r="F10" s="3">
        <f t="shared" si="1"/>
        <v>3.563</v>
      </c>
      <c r="G10" s="3">
        <f>E10/D10</f>
        <v>0.2994117647</v>
      </c>
      <c r="H10" s="3">
        <f>D10/E10</f>
        <v>3.339882122</v>
      </c>
    </row>
    <row r="11">
      <c r="A11" s="2">
        <v>46120.0</v>
      </c>
      <c r="B11" s="1">
        <v>8.0</v>
      </c>
      <c r="C11" s="1">
        <v>0.0</v>
      </c>
      <c r="D11" s="1">
        <v>0.0</v>
      </c>
      <c r="E11" s="1">
        <f>19.11+18.18</f>
        <v>37.29</v>
      </c>
      <c r="F11" s="3">
        <f t="shared" si="1"/>
        <v>4.66125</v>
      </c>
      <c r="G11" s="4">
        <v>0.0</v>
      </c>
      <c r="H11" s="4">
        <v>0.0</v>
      </c>
    </row>
    <row r="12">
      <c r="A12" s="2">
        <v>46119.0</v>
      </c>
      <c r="B12" s="1">
        <v>11.0</v>
      </c>
      <c r="C12" s="1">
        <v>0.0</v>
      </c>
      <c r="D12" s="1">
        <v>0.0</v>
      </c>
      <c r="E12" s="1">
        <f>21.46+19.85</f>
        <v>41.31</v>
      </c>
      <c r="F12" s="3">
        <f t="shared" si="1"/>
        <v>3.755454545</v>
      </c>
      <c r="G12" s="4">
        <v>0.0</v>
      </c>
      <c r="H12" s="4">
        <v>0.0</v>
      </c>
    </row>
    <row r="13">
      <c r="A13" s="2">
        <v>46118.0</v>
      </c>
      <c r="B13" s="1">
        <v>11.0</v>
      </c>
      <c r="C13" s="1">
        <v>0.0</v>
      </c>
      <c r="D13" s="1">
        <v>0.0</v>
      </c>
      <c r="E13" s="1">
        <f>22.55+28.08</f>
        <v>50.63</v>
      </c>
      <c r="F13" s="3">
        <f t="shared" si="1"/>
        <v>4.602727273</v>
      </c>
      <c r="G13" s="4">
        <v>0.0</v>
      </c>
      <c r="H13" s="4">
        <v>0.0</v>
      </c>
    </row>
    <row r="14">
      <c r="A14" s="2">
        <v>46117.0</v>
      </c>
      <c r="B14" s="1">
        <v>18.0</v>
      </c>
      <c r="C14" s="1">
        <v>1.0</v>
      </c>
      <c r="D14" s="1">
        <v>89.0</v>
      </c>
      <c r="E14" s="1">
        <f>24.49+22.01</f>
        <v>46.5</v>
      </c>
      <c r="F14" s="3">
        <f t="shared" si="1"/>
        <v>2.583333333</v>
      </c>
      <c r="G14" s="3">
        <f>E14/D14</f>
        <v>0.5224719101</v>
      </c>
      <c r="H14" s="3">
        <f>D14/E14</f>
        <v>1.913978495</v>
      </c>
    </row>
    <row r="15">
      <c r="A15" s="2">
        <v>46116.0</v>
      </c>
      <c r="B15" s="1">
        <v>10.0</v>
      </c>
      <c r="C15" s="1">
        <v>0.0</v>
      </c>
      <c r="D15" s="1">
        <v>0.0</v>
      </c>
      <c r="E15" s="1">
        <f>18.32+34.89</f>
        <v>53.21</v>
      </c>
      <c r="F15" s="3">
        <f t="shared" si="1"/>
        <v>5.321</v>
      </c>
      <c r="G15" s="4">
        <v>0.0</v>
      </c>
      <c r="H15" s="4">
        <v>0.0</v>
      </c>
    </row>
    <row r="16">
      <c r="A16" s="2">
        <v>46115.0</v>
      </c>
      <c r="B16" s="1">
        <v>7.0</v>
      </c>
      <c r="C16" s="1">
        <v>1.0</v>
      </c>
      <c r="D16" s="1">
        <v>69.0</v>
      </c>
      <c r="E16" s="1">
        <v>14.74</v>
      </c>
      <c r="F16" s="3">
        <f t="shared" si="1"/>
        <v>2.105714286</v>
      </c>
      <c r="G16" s="3">
        <f>E16/D16</f>
        <v>0.2136231884</v>
      </c>
      <c r="H16" s="3">
        <f>D16/E16</f>
        <v>4.681139756</v>
      </c>
    </row>
    <row r="17">
      <c r="A17" s="2">
        <v>46114.0</v>
      </c>
      <c r="B17" s="1">
        <v>10.0</v>
      </c>
      <c r="C17" s="1">
        <v>0.0</v>
      </c>
      <c r="D17" s="1">
        <v>0.0</v>
      </c>
      <c r="E17" s="1">
        <v>21.46</v>
      </c>
      <c r="F17" s="3">
        <f t="shared" si="1"/>
        <v>2.146</v>
      </c>
      <c r="G17" s="4">
        <v>0.0</v>
      </c>
      <c r="H17" s="4">
        <v>0.0</v>
      </c>
    </row>
    <row r="18">
      <c r="A18" s="2">
        <v>46113.0</v>
      </c>
      <c r="B18" s="1">
        <v>10.0</v>
      </c>
      <c r="C18" s="1">
        <v>0.0</v>
      </c>
      <c r="D18" s="1">
        <v>0.0</v>
      </c>
      <c r="E18" s="1">
        <f>18.08+3.96</f>
        <v>22.04</v>
      </c>
      <c r="F18" s="3">
        <f t="shared" si="1"/>
        <v>2.204</v>
      </c>
      <c r="G18" s="4">
        <v>0.0</v>
      </c>
      <c r="H18" s="4">
        <v>0.0</v>
      </c>
    </row>
    <row r="19">
      <c r="A19" s="2">
        <v>46112.0</v>
      </c>
      <c r="B19" s="1">
        <v>10.0</v>
      </c>
      <c r="C19" s="1">
        <v>0.0</v>
      </c>
      <c r="D19" s="1">
        <v>0.0</v>
      </c>
      <c r="E19" s="1">
        <v>22.71</v>
      </c>
      <c r="F19" s="3">
        <f t="shared" si="1"/>
        <v>2.271</v>
      </c>
      <c r="G19" s="4">
        <v>0.0</v>
      </c>
      <c r="H19" s="4">
        <v>0.0</v>
      </c>
    </row>
    <row r="20">
      <c r="A20" s="2">
        <v>46111.0</v>
      </c>
      <c r="B20" s="1">
        <v>6.0</v>
      </c>
      <c r="C20" s="1">
        <v>0.0</v>
      </c>
      <c r="D20" s="1">
        <v>0.0</v>
      </c>
      <c r="E20" s="1">
        <v>19.43</v>
      </c>
      <c r="F20" s="3">
        <f t="shared" si="1"/>
        <v>3.238333333</v>
      </c>
      <c r="G20" s="4">
        <v>0.0</v>
      </c>
      <c r="H20" s="4">
        <v>0.0</v>
      </c>
    </row>
    <row r="21">
      <c r="A21" s="2">
        <v>46110.0</v>
      </c>
      <c r="B21" s="1">
        <v>9.0</v>
      </c>
      <c r="C21" s="1">
        <v>0.0</v>
      </c>
      <c r="D21" s="1">
        <v>0.0</v>
      </c>
      <c r="E21" s="1">
        <v>18.18</v>
      </c>
      <c r="F21" s="3">
        <f t="shared" si="1"/>
        <v>2.02</v>
      </c>
      <c r="G21" s="4">
        <v>0.0</v>
      </c>
      <c r="H21" s="4">
        <v>0.0</v>
      </c>
    </row>
    <row r="22">
      <c r="A22" s="2">
        <v>46109.0</v>
      </c>
      <c r="B22" s="1">
        <v>6.0</v>
      </c>
      <c r="C22" s="1">
        <v>1.0</v>
      </c>
      <c r="D22" s="1">
        <v>358.0</v>
      </c>
      <c r="E22" s="1">
        <v>9.55</v>
      </c>
      <c r="F22" s="3">
        <f t="shared" si="1"/>
        <v>1.591666667</v>
      </c>
      <c r="G22" s="3">
        <f>E22/D22</f>
        <v>0.02667597765</v>
      </c>
      <c r="H22" s="3">
        <f>D22/E22</f>
        <v>37.48691099</v>
      </c>
    </row>
    <row r="23">
      <c r="A23" s="2">
        <v>46108.0</v>
      </c>
      <c r="B23" s="1">
        <v>11.0</v>
      </c>
      <c r="C23" s="1">
        <v>0.0</v>
      </c>
      <c r="D23" s="1">
        <v>0.0</v>
      </c>
      <c r="E23" s="1">
        <v>17.84</v>
      </c>
      <c r="F23" s="3">
        <f t="shared" si="1"/>
        <v>1.621818182</v>
      </c>
      <c r="G23" s="4">
        <v>0.0</v>
      </c>
      <c r="H23" s="4">
        <v>0.0</v>
      </c>
    </row>
    <row r="24">
      <c r="A24" s="2">
        <v>46107.0</v>
      </c>
      <c r="B24" s="1">
        <v>7.0</v>
      </c>
      <c r="C24" s="1">
        <v>1.0</v>
      </c>
      <c r="D24" s="1">
        <v>269.0</v>
      </c>
      <c r="E24" s="1">
        <v>19.68</v>
      </c>
      <c r="F24" s="3">
        <f t="shared" si="1"/>
        <v>2.811428571</v>
      </c>
      <c r="G24" s="3">
        <f>E24/D24</f>
        <v>0.0731598513</v>
      </c>
      <c r="H24" s="3">
        <f>D24/E24</f>
        <v>13.66869919</v>
      </c>
    </row>
    <row r="25">
      <c r="A25" s="2">
        <v>46106.0</v>
      </c>
      <c r="B25" s="1">
        <v>14.0</v>
      </c>
      <c r="C25" s="1">
        <v>0.0</v>
      </c>
      <c r="D25" s="1">
        <v>0.0</v>
      </c>
      <c r="E25" s="1">
        <v>25.19</v>
      </c>
      <c r="F25" s="3">
        <f t="shared" si="1"/>
        <v>1.799285714</v>
      </c>
      <c r="G25" s="4">
        <v>0.0</v>
      </c>
      <c r="H25" s="4">
        <v>0.0</v>
      </c>
    </row>
    <row r="26">
      <c r="A26" s="2">
        <v>46105.0</v>
      </c>
      <c r="B26" s="1">
        <v>5.0</v>
      </c>
      <c r="C26" s="1">
        <v>0.0</v>
      </c>
      <c r="D26" s="1">
        <v>0.0</v>
      </c>
      <c r="E26" s="1">
        <v>18.81</v>
      </c>
      <c r="F26" s="3">
        <f t="shared" si="1"/>
        <v>3.762</v>
      </c>
      <c r="G26" s="4">
        <v>0.0</v>
      </c>
      <c r="H26" s="4">
        <v>0.0</v>
      </c>
    </row>
    <row r="27">
      <c r="A27" s="2">
        <v>46104.0</v>
      </c>
      <c r="B27" s="1">
        <v>7.0</v>
      </c>
      <c r="C27" s="1">
        <v>0.0</v>
      </c>
      <c r="D27" s="1">
        <v>0.0</v>
      </c>
      <c r="E27" s="1">
        <v>20.87</v>
      </c>
      <c r="F27" s="3">
        <f t="shared" si="1"/>
        <v>2.981428571</v>
      </c>
      <c r="G27" s="4">
        <v>0.0</v>
      </c>
      <c r="H27" s="4">
        <v>0.0</v>
      </c>
    </row>
    <row r="28">
      <c r="A28" s="2">
        <v>46103.0</v>
      </c>
      <c r="B28" s="1">
        <v>14.0</v>
      </c>
      <c r="C28" s="1">
        <v>0.0</v>
      </c>
      <c r="D28" s="1">
        <v>0.0</v>
      </c>
      <c r="E28" s="1">
        <v>19.97</v>
      </c>
      <c r="F28" s="3">
        <f t="shared" si="1"/>
        <v>1.426428571</v>
      </c>
      <c r="G28" s="4">
        <v>0.0</v>
      </c>
      <c r="H28" s="4">
        <v>0.0</v>
      </c>
    </row>
    <row r="29">
      <c r="A29" s="2">
        <v>46102.0</v>
      </c>
      <c r="B29" s="1">
        <v>10.0</v>
      </c>
      <c r="C29" s="1">
        <v>0.0</v>
      </c>
      <c r="D29" s="1">
        <v>0.0</v>
      </c>
      <c r="E29" s="1">
        <v>16.98</v>
      </c>
      <c r="F29" s="3">
        <f t="shared" si="1"/>
        <v>1.698</v>
      </c>
      <c r="G29" s="4">
        <v>0.0</v>
      </c>
      <c r="H29" s="4">
        <v>0.0</v>
      </c>
    </row>
    <row r="30">
      <c r="A30" s="2">
        <v>46101.0</v>
      </c>
      <c r="B30" s="1">
        <v>12.0</v>
      </c>
      <c r="C30" s="1">
        <v>1.0</v>
      </c>
      <c r="D30" s="1">
        <v>219.0</v>
      </c>
      <c r="E30" s="1">
        <v>18.98</v>
      </c>
      <c r="F30" s="3">
        <f t="shared" si="1"/>
        <v>1.581666667</v>
      </c>
      <c r="G30" s="3">
        <f>E30/D30</f>
        <v>0.08666666667</v>
      </c>
      <c r="H30" s="3">
        <f>D30/E30</f>
        <v>11.53846154</v>
      </c>
    </row>
    <row r="31">
      <c r="A31" s="2">
        <v>46100.0</v>
      </c>
      <c r="B31" s="1">
        <v>11.0</v>
      </c>
      <c r="C31" s="1">
        <v>0.0</v>
      </c>
      <c r="D31" s="1">
        <v>0.0</v>
      </c>
      <c r="E31" s="1">
        <v>18.66</v>
      </c>
      <c r="F31" s="3">
        <f t="shared" si="1"/>
        <v>1.696363636</v>
      </c>
      <c r="G31" s="4">
        <v>0.0</v>
      </c>
      <c r="H31" s="4">
        <v>0.0</v>
      </c>
    </row>
    <row r="32">
      <c r="A32" s="2">
        <v>46099.0</v>
      </c>
      <c r="B32" s="1">
        <v>13.0</v>
      </c>
      <c r="C32" s="1">
        <v>0.0</v>
      </c>
      <c r="D32" s="1">
        <v>0.0</v>
      </c>
      <c r="E32" s="1">
        <v>21.29</v>
      </c>
      <c r="F32" s="3">
        <f t="shared" si="1"/>
        <v>1.637692308</v>
      </c>
      <c r="G32" s="4">
        <v>0.0</v>
      </c>
      <c r="H32" s="4">
        <v>0.0</v>
      </c>
    </row>
    <row r="33">
      <c r="A33" s="2">
        <v>46098.0</v>
      </c>
      <c r="B33" s="1">
        <v>11.0</v>
      </c>
      <c r="C33" s="1">
        <v>1.0</v>
      </c>
      <c r="D33" s="1">
        <v>149.0</v>
      </c>
      <c r="E33" s="1">
        <v>21.38</v>
      </c>
      <c r="F33" s="3">
        <f t="shared" si="1"/>
        <v>1.943636364</v>
      </c>
      <c r="G33" s="3">
        <f>E33/D33</f>
        <v>0.1434899329</v>
      </c>
      <c r="H33" s="3">
        <f>D33/E33</f>
        <v>6.969130028</v>
      </c>
    </row>
    <row r="34">
      <c r="A34" s="2">
        <v>46097.0</v>
      </c>
      <c r="B34" s="1">
        <v>10.0</v>
      </c>
      <c r="C34" s="1">
        <v>0.0</v>
      </c>
      <c r="D34" s="1">
        <v>0.0</v>
      </c>
      <c r="E34" s="1">
        <v>21.4</v>
      </c>
      <c r="F34" s="3">
        <f t="shared" si="1"/>
        <v>2.14</v>
      </c>
      <c r="G34" s="4">
        <v>0.0</v>
      </c>
      <c r="H34" s="4">
        <v>0.0</v>
      </c>
    </row>
    <row r="35">
      <c r="A35" s="2">
        <v>46096.0</v>
      </c>
      <c r="B35" s="1">
        <v>16.0</v>
      </c>
      <c r="C35" s="1">
        <v>0.0</v>
      </c>
      <c r="D35" s="1">
        <v>0.0</v>
      </c>
      <c r="E35" s="1">
        <v>16.52</v>
      </c>
      <c r="F35" s="3">
        <f t="shared" si="1"/>
        <v>1.0325</v>
      </c>
      <c r="G35" s="4">
        <v>0.0</v>
      </c>
      <c r="H35" s="4">
        <v>0.0</v>
      </c>
    </row>
    <row r="36">
      <c r="A36" s="2">
        <v>46095.0</v>
      </c>
      <c r="B36" s="1">
        <v>22.0</v>
      </c>
      <c r="C36" s="1">
        <v>0.0</v>
      </c>
      <c r="D36" s="1">
        <v>0.0</v>
      </c>
      <c r="E36" s="1">
        <v>16.48</v>
      </c>
      <c r="F36" s="3">
        <f t="shared" si="1"/>
        <v>0.7490909091</v>
      </c>
      <c r="G36" s="4">
        <v>0.0</v>
      </c>
      <c r="H36" s="4">
        <v>0.0</v>
      </c>
    </row>
    <row r="37">
      <c r="A37" s="1">
        <v>13.0</v>
      </c>
      <c r="B37" s="1">
        <v>14.0</v>
      </c>
      <c r="C37" s="1">
        <v>0.0</v>
      </c>
      <c r="D37" s="1">
        <v>0.0</v>
      </c>
      <c r="E37" s="1">
        <v>17.02</v>
      </c>
      <c r="F37" s="3">
        <f t="shared" si="1"/>
        <v>1.215714286</v>
      </c>
      <c r="G37" s="4">
        <v>0.0</v>
      </c>
      <c r="H37" s="4">
        <v>0.0</v>
      </c>
    </row>
    <row r="38">
      <c r="A38" s="1">
        <v>12.0</v>
      </c>
      <c r="B38" s="1">
        <v>6.0</v>
      </c>
      <c r="C38" s="1">
        <v>0.0</v>
      </c>
      <c r="D38" s="1">
        <v>0.0</v>
      </c>
      <c r="E38" s="1">
        <v>17.95</v>
      </c>
      <c r="F38" s="3">
        <f t="shared" si="1"/>
        <v>2.991666667</v>
      </c>
      <c r="G38" s="4">
        <v>0.0</v>
      </c>
      <c r="H38" s="4">
        <v>0.0</v>
      </c>
    </row>
    <row r="39">
      <c r="A39" s="1">
        <v>11.0</v>
      </c>
      <c r="B39" s="1">
        <v>15.0</v>
      </c>
      <c r="C39" s="1">
        <v>1.0</v>
      </c>
      <c r="D39" s="1">
        <f>149+19+169</f>
        <v>337</v>
      </c>
      <c r="E39" s="1">
        <v>17.75</v>
      </c>
      <c r="F39" s="3">
        <f t="shared" si="1"/>
        <v>1.183333333</v>
      </c>
      <c r="G39" s="3">
        <f t="shared" ref="G39:G40" si="4">E39/D39</f>
        <v>0.05267062315</v>
      </c>
      <c r="H39" s="3">
        <f t="shared" ref="H39:H48" si="5">D39/E39</f>
        <v>18.98591549</v>
      </c>
    </row>
    <row r="40">
      <c r="A40" s="1">
        <v>10.0</v>
      </c>
      <c r="B40" s="1">
        <v>21.0</v>
      </c>
      <c r="C40" s="1">
        <v>1.0</v>
      </c>
      <c r="D40" s="1">
        <v>458.0</v>
      </c>
      <c r="E40" s="1">
        <v>33.76</v>
      </c>
      <c r="F40" s="3">
        <f t="shared" si="1"/>
        <v>1.607619048</v>
      </c>
      <c r="G40" s="3">
        <f t="shared" si="4"/>
        <v>0.07371179039</v>
      </c>
      <c r="H40" s="3">
        <f t="shared" si="5"/>
        <v>13.56635071</v>
      </c>
    </row>
    <row r="41">
      <c r="A41" s="1">
        <v>9.0</v>
      </c>
      <c r="B41" s="1">
        <v>14.0</v>
      </c>
      <c r="C41" s="1">
        <v>0.0</v>
      </c>
      <c r="D41" s="1">
        <v>0.0</v>
      </c>
      <c r="E41" s="1">
        <v>30.08</v>
      </c>
      <c r="F41" s="3">
        <f t="shared" si="1"/>
        <v>2.148571429</v>
      </c>
      <c r="G41" s="4">
        <v>0.0</v>
      </c>
      <c r="H41" s="3">
        <f t="shared" si="5"/>
        <v>0</v>
      </c>
    </row>
    <row r="42">
      <c r="A42" s="1">
        <v>8.0</v>
      </c>
      <c r="B42" s="1">
        <v>17.0</v>
      </c>
      <c r="C42" s="1">
        <v>0.0</v>
      </c>
      <c r="D42" s="1">
        <v>0.0</v>
      </c>
      <c r="E42" s="1">
        <v>34.88</v>
      </c>
      <c r="F42" s="3">
        <f t="shared" si="1"/>
        <v>2.051764706</v>
      </c>
      <c r="G42" s="4">
        <v>0.0</v>
      </c>
      <c r="H42" s="3">
        <f t="shared" si="5"/>
        <v>0</v>
      </c>
    </row>
    <row r="43">
      <c r="A43" s="1">
        <v>7.0</v>
      </c>
      <c r="B43" s="1">
        <v>11.0</v>
      </c>
      <c r="C43" s="1">
        <v>1.0</v>
      </c>
      <c r="D43" s="1">
        <v>89.0</v>
      </c>
      <c r="E43" s="1">
        <v>28.47</v>
      </c>
      <c r="F43" s="3">
        <f t="shared" si="1"/>
        <v>2.588181818</v>
      </c>
      <c r="G43" s="3">
        <f>E43/D43</f>
        <v>0.3198876404</v>
      </c>
      <c r="H43" s="3">
        <f t="shared" si="5"/>
        <v>3.126097647</v>
      </c>
    </row>
    <row r="44">
      <c r="A44" s="1">
        <v>6.0</v>
      </c>
      <c r="B44" s="1">
        <v>14.0</v>
      </c>
      <c r="C44" s="1">
        <v>0.0</v>
      </c>
      <c r="D44" s="1">
        <v>0.0</v>
      </c>
      <c r="E44" s="1">
        <v>35.15</v>
      </c>
      <c r="F44" s="3">
        <f t="shared" si="1"/>
        <v>2.510714286</v>
      </c>
      <c r="G44" s="4">
        <v>0.0</v>
      </c>
      <c r="H44" s="3">
        <f t="shared" si="5"/>
        <v>0</v>
      </c>
    </row>
    <row r="45">
      <c r="A45" s="1">
        <v>5.0</v>
      </c>
      <c r="B45" s="1">
        <v>13.0</v>
      </c>
      <c r="C45" s="1">
        <v>0.0</v>
      </c>
      <c r="D45" s="1">
        <v>0.0</v>
      </c>
      <c r="E45" s="1">
        <v>23.4</v>
      </c>
      <c r="F45" s="3">
        <f t="shared" si="1"/>
        <v>1.8</v>
      </c>
      <c r="G45" s="4">
        <v>0.0</v>
      </c>
      <c r="H45" s="3">
        <f t="shared" si="5"/>
        <v>0</v>
      </c>
    </row>
    <row r="46">
      <c r="A46" s="1">
        <v>4.0</v>
      </c>
      <c r="B46" s="1">
        <v>14.0</v>
      </c>
      <c r="C46" s="1">
        <v>1.0</v>
      </c>
      <c r="D46" s="1">
        <v>338.0</v>
      </c>
      <c r="E46" s="1">
        <v>26.2</v>
      </c>
      <c r="F46" s="3">
        <f t="shared" si="1"/>
        <v>1.871428571</v>
      </c>
      <c r="G46" s="3">
        <f>E46/D46</f>
        <v>0.0775147929</v>
      </c>
      <c r="H46" s="3">
        <f t="shared" si="5"/>
        <v>12.90076336</v>
      </c>
    </row>
    <row r="47">
      <c r="A47" s="1">
        <v>3.0</v>
      </c>
      <c r="B47" s="1">
        <v>16.0</v>
      </c>
      <c r="C47" s="1">
        <v>0.0</v>
      </c>
      <c r="D47" s="1">
        <v>0.0</v>
      </c>
      <c r="E47" s="1">
        <v>28.98</v>
      </c>
      <c r="F47" s="3">
        <f t="shared" si="1"/>
        <v>1.81125</v>
      </c>
      <c r="G47" s="4">
        <v>0.0</v>
      </c>
      <c r="H47" s="3">
        <f t="shared" si="5"/>
        <v>0</v>
      </c>
    </row>
    <row r="48">
      <c r="A48" s="1">
        <v>2.0</v>
      </c>
      <c r="B48" s="1">
        <v>7.0</v>
      </c>
      <c r="C48" s="1">
        <v>0.0</v>
      </c>
      <c r="D48" s="1">
        <v>0.0</v>
      </c>
      <c r="E48" s="1">
        <v>12.28</v>
      </c>
      <c r="F48" s="3">
        <f t="shared" si="1"/>
        <v>1.754285714</v>
      </c>
      <c r="G48" s="4">
        <v>0.0</v>
      </c>
      <c r="H48" s="3">
        <f t="shared" si="5"/>
        <v>0</v>
      </c>
    </row>
    <row r="49">
      <c r="A49" s="1">
        <v>1.0</v>
      </c>
      <c r="B49" s="1">
        <v>0.0</v>
      </c>
      <c r="C49" s="1">
        <v>0.0</v>
      </c>
      <c r="D49" s="1">
        <v>0.0</v>
      </c>
      <c r="E49" s="1">
        <v>0.0</v>
      </c>
      <c r="F49" s="4">
        <v>0.0</v>
      </c>
      <c r="G49" s="4">
        <v>0.0</v>
      </c>
      <c r="H49" s="4">
        <v>0.0</v>
      </c>
    </row>
    <row r="50">
      <c r="B50" s="5">
        <f t="shared" ref="B50:E50" si="6">SUM(B22:B49)</f>
        <v>331</v>
      </c>
      <c r="C50" s="5">
        <f t="shared" si="6"/>
        <v>8</v>
      </c>
      <c r="D50" s="5">
        <f t="shared" si="6"/>
        <v>2217</v>
      </c>
      <c r="E50" s="5">
        <f t="shared" si="6"/>
        <v>589.52</v>
      </c>
      <c r="F50" s="3">
        <f t="shared" ref="F50:H50" si="7">AVERAGE(F22:F49)</f>
        <v>1.857412001</v>
      </c>
      <c r="G50" s="3">
        <f t="shared" si="7"/>
        <v>0.03049204555</v>
      </c>
      <c r="H50" s="3">
        <f t="shared" si="7"/>
        <v>4.22294032</v>
      </c>
    </row>
  </sheetData>
  <drawing r:id="rId1"/>
</worksheet>
</file>